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Leggie\Dropbox\Public\FilesforBlogs\Church Accounting Using GnuCash - 14 - Import Transactions from Excel into GnuCash through QIF\"/>
    </mc:Choice>
  </mc:AlternateContent>
  <bookViews>
    <workbookView xWindow="480" yWindow="120" windowWidth="19320" windowHeight="11760" firstSheet="1" activeTab="1"/>
  </bookViews>
  <sheets>
    <sheet name="Summary" sheetId="4" r:id="rId1"/>
    <sheet name="Receipts" sheetId="1" r:id="rId2"/>
    <sheet name="List of Members" sheetId="5" r:id="rId3"/>
    <sheet name="Configurations" sheetId="3" r:id="rId4"/>
  </sheets>
  <definedNames>
    <definedName name="_xlnm._FilterDatabase" localSheetId="1" hidden="1">Receipts!$A$1:$R$4</definedName>
    <definedName name="_xlnm.Print_Area" localSheetId="1">Receipts!$A$1:$M$4</definedName>
    <definedName name="_xlnm.Print_Titles" localSheetId="1">Receipts!$1:$1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M4" i="5" l="1"/>
  <c r="M3" i="5" l="1"/>
  <c r="D20" i="3"/>
  <c r="G20" i="3" s="1"/>
  <c r="D19" i="3"/>
  <c r="G19" i="3" s="1"/>
  <c r="D18" i="3"/>
  <c r="G18" i="3" s="1"/>
  <c r="D17" i="3"/>
  <c r="G17" i="3" s="1"/>
  <c r="D16" i="3"/>
  <c r="G16" i="3" s="1"/>
  <c r="D15" i="3"/>
  <c r="G15" i="3" s="1"/>
  <c r="D14" i="3"/>
  <c r="G14" i="3" s="1"/>
  <c r="D13" i="3"/>
  <c r="G13" i="3" s="1"/>
  <c r="D12" i="3"/>
  <c r="G12" i="3" s="1"/>
  <c r="D11" i="3"/>
  <c r="G11" i="3" s="1"/>
  <c r="D10" i="3"/>
  <c r="G10" i="3" s="1"/>
  <c r="D9" i="3"/>
  <c r="G9" i="3" s="1"/>
  <c r="D8" i="3"/>
  <c r="G8" i="3" s="1"/>
  <c r="D7" i="3"/>
  <c r="G7" i="3" s="1"/>
  <c r="D6" i="3"/>
  <c r="G6" i="3" s="1"/>
  <c r="D5" i="3"/>
  <c r="G5" i="3" s="1"/>
  <c r="D4" i="3"/>
  <c r="G4" i="3" s="1"/>
  <c r="D3" i="3"/>
  <c r="G3" i="3" s="1"/>
  <c r="D2" i="3"/>
  <c r="G2" i="3" s="1"/>
  <c r="M2" i="5"/>
  <c r="Q4" i="1"/>
  <c r="O4" i="1"/>
  <c r="Q3" i="1"/>
  <c r="O3" i="1"/>
  <c r="B3" i="1"/>
  <c r="R2" i="1"/>
  <c r="R3" i="1" s="1"/>
  <c r="R4" i="1" s="1"/>
  <c r="Q2" i="1"/>
  <c r="O2" i="1"/>
  <c r="B2" i="1"/>
  <c r="C3" i="3" l="1"/>
  <c r="C5" i="3"/>
  <c r="C7" i="3"/>
  <c r="C9" i="3"/>
  <c r="C11" i="3"/>
  <c r="C13" i="3"/>
  <c r="C15" i="3"/>
  <c r="C17" i="3"/>
  <c r="C19" i="3"/>
  <c r="C2" i="3"/>
  <c r="C4" i="3"/>
  <c r="C6" i="3"/>
  <c r="C8" i="3"/>
  <c r="C10" i="3"/>
  <c r="C12" i="3"/>
  <c r="C14" i="3"/>
  <c r="C16" i="3"/>
  <c r="C18" i="3"/>
  <c r="C20" i="3"/>
  <c r="H12" i="3"/>
  <c r="H9" i="3"/>
  <c r="H20" i="3"/>
  <c r="H8" i="3"/>
  <c r="H17" i="3"/>
  <c r="H5" i="3"/>
  <c r="H6" i="3"/>
  <c r="H13" i="3"/>
  <c r="H4" i="3"/>
  <c r="H14" i="3"/>
  <c r="H2" i="3"/>
  <c r="H3" i="3"/>
  <c r="H10" i="3"/>
  <c r="H18" i="3"/>
  <c r="H11" i="3"/>
  <c r="H15" i="3"/>
  <c r="H19" i="3"/>
  <c r="H7" i="3"/>
  <c r="H16" i="3"/>
</calcChain>
</file>

<file path=xl/comments1.xml><?xml version="1.0" encoding="utf-8"?>
<comments xmlns="http://schemas.openxmlformats.org/spreadsheetml/2006/main">
  <authors>
    <author>Jacob Oommen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Jacob Oommen:</t>
        </r>
        <r>
          <rPr>
            <sz val="9"/>
            <color indexed="81"/>
            <rFont val="Tahoma"/>
            <family val="2"/>
          </rPr>
          <t xml:space="preserve">
Cash, Cheque or EFT (Electronic Fund Transfer)</t>
        </r>
      </text>
    </comment>
  </commentList>
</comments>
</file>

<file path=xl/sharedStrings.xml><?xml version="1.0" encoding="utf-8"?>
<sst xmlns="http://schemas.openxmlformats.org/spreadsheetml/2006/main" count="148" uniqueCount="121">
  <si>
    <t>Cash</t>
  </si>
  <si>
    <t>Cover No</t>
  </si>
  <si>
    <t>Name</t>
  </si>
  <si>
    <t>Type</t>
  </si>
  <si>
    <t>Bank</t>
  </si>
  <si>
    <t>Check No</t>
  </si>
  <si>
    <t>Name on Check</t>
  </si>
  <si>
    <t>Amount</t>
  </si>
  <si>
    <t>Cum Amount</t>
  </si>
  <si>
    <t>Remarks</t>
  </si>
  <si>
    <t>Address from Edavaka List</t>
  </si>
  <si>
    <t>Sal</t>
  </si>
  <si>
    <t>Receipt No</t>
  </si>
  <si>
    <t>ER No</t>
  </si>
  <si>
    <t>Date</t>
  </si>
  <si>
    <t>Address on Envelope</t>
  </si>
  <si>
    <t>Position of Receipt Number</t>
  </si>
  <si>
    <t>Position of cash/cheque identifier</t>
  </si>
  <si>
    <t>Name of Bank Account 1</t>
  </si>
  <si>
    <t>Name of Bank Account 2</t>
  </si>
  <si>
    <t>Name of Bank Account 3</t>
  </si>
  <si>
    <t>Position of Amount</t>
  </si>
  <si>
    <t>Position of Remarks (Memo field)</t>
  </si>
  <si>
    <t>Position of Bank Name on Cheque</t>
  </si>
  <si>
    <t>Position of Cheque Number  on Cheque</t>
  </si>
  <si>
    <t>Position of Account Holder Name  on Cheque</t>
  </si>
  <si>
    <t>Dated</t>
  </si>
  <si>
    <t>Account</t>
  </si>
  <si>
    <t>One Day Income</t>
  </si>
  <si>
    <t>Tithe</t>
  </si>
  <si>
    <t>Entry Status</t>
  </si>
  <si>
    <t>Row Labels</t>
  </si>
  <si>
    <t>(blank)</t>
  </si>
  <si>
    <t>Grand Total</t>
  </si>
  <si>
    <t>Parent Account of Cash in Hand</t>
  </si>
  <si>
    <t>Count of Account</t>
  </si>
  <si>
    <t>Sum of Amount</t>
  </si>
  <si>
    <t>Description</t>
  </si>
  <si>
    <t>Position of Member Name</t>
  </si>
  <si>
    <t>Searched for Position</t>
  </si>
  <si>
    <t>Column Name in Receipts Worksheet</t>
  </si>
  <si>
    <t>Column Name</t>
  </si>
  <si>
    <t>For Debugging Purpose</t>
  </si>
  <si>
    <t>Position of Cheque Date</t>
  </si>
  <si>
    <t>Parent Account of Members Accounts</t>
  </si>
  <si>
    <t>Parent Account of Asset:Current Asset:Bank</t>
  </si>
  <si>
    <t>Parent Account of Yearly Contribution Income Accounts</t>
  </si>
  <si>
    <t>Position Of Income Account Name</t>
  </si>
  <si>
    <t>Position of Receipt Date</t>
  </si>
  <si>
    <t>Position Of Entry Status</t>
  </si>
  <si>
    <t>Assets:Current Assets:Debtors:</t>
  </si>
  <si>
    <t>Assets:Current Assets:Bank:</t>
  </si>
  <si>
    <t>Income:Members Yearly Contributions:</t>
  </si>
  <si>
    <t>Column Number</t>
  </si>
  <si>
    <t>Name of Cash In Hand Account</t>
  </si>
  <si>
    <t>Cash in Hand</t>
  </si>
  <si>
    <t>Entered</t>
  </si>
  <si>
    <t>Assets:Current Assets:</t>
  </si>
  <si>
    <t>SB - General</t>
  </si>
  <si>
    <t>SB - Building</t>
  </si>
  <si>
    <t>SB - Other</t>
  </si>
  <si>
    <t>Bank Account</t>
  </si>
  <si>
    <t>Income Accounts, and Corresponding Bank 1</t>
  </si>
  <si>
    <t>Income Accounts, and Corresponding Bank 2</t>
  </si>
  <si>
    <t>Income Accounts, and Corresponding Bank 3</t>
  </si>
  <si>
    <t>Income Accounts, and Corresponding Bank 4</t>
  </si>
  <si>
    <t>Password to unlock this worksheet: abc</t>
  </si>
  <si>
    <t>For Instructions on how to use for your church, or non profit organization please see my blog: http://financeandaccountingforchurches.blogspot.in/</t>
  </si>
  <si>
    <t>Static Values</t>
  </si>
  <si>
    <t>Edit The values in the cells shaded in blue only as required.</t>
  </si>
  <si>
    <t>This worksheet is locked and only the configuration items that need to be changed are unlocked.   (For the users safety)</t>
  </si>
  <si>
    <t>Values</t>
  </si>
  <si>
    <t>SlNo</t>
  </si>
  <si>
    <t>ERNo</t>
  </si>
  <si>
    <t>Salutation</t>
  </si>
  <si>
    <t>Land Line</t>
  </si>
  <si>
    <t>Mobile</t>
  </si>
  <si>
    <t>Address Line 1</t>
  </si>
  <si>
    <t>Address Line 2</t>
  </si>
  <si>
    <t>Address Line 3</t>
  </si>
  <si>
    <t>Address Line 4</t>
  </si>
  <si>
    <t>Address Line 5</t>
  </si>
  <si>
    <t>HOF</t>
  </si>
  <si>
    <t>Address</t>
  </si>
  <si>
    <t>Group</t>
  </si>
  <si>
    <t xml:space="preserve">Mr. </t>
  </si>
  <si>
    <t>Land and Building Fund</t>
  </si>
  <si>
    <t>Subscription</t>
  </si>
  <si>
    <t>Tithe, One Day Income, Harvest Festival Donation, Subscription, Subscription Arrears, Miscellaneous Contributions, Harvest Festival Donation, Harvest Festival Auction, Baptism Contribution, Baptism Offertory, Baptism Thanks Giving, Uposhanam</t>
  </si>
  <si>
    <t>Name 1</t>
  </si>
  <si>
    <t>111111</t>
  </si>
  <si>
    <t>222222</t>
  </si>
  <si>
    <t>No 1 Some Flat</t>
  </si>
  <si>
    <t>Some Place</t>
  </si>
  <si>
    <t>Some Locality</t>
  </si>
  <si>
    <t>Some Area</t>
  </si>
  <si>
    <t>Some City</t>
  </si>
  <si>
    <t>Some Group</t>
  </si>
  <si>
    <t>Password to See vba code:  Password in my blog, http://financeandaccountingforchurches.blogspot.in/</t>
  </si>
  <si>
    <t>This was first created for the use of St Stephens Marthoma Church, Koramangala, Bangalore</t>
  </si>
  <si>
    <t>R001</t>
  </si>
  <si>
    <t>R002</t>
  </si>
  <si>
    <t>R003</t>
  </si>
  <si>
    <t>Name 2</t>
  </si>
  <si>
    <t>Ms</t>
  </si>
  <si>
    <t>444444</t>
  </si>
  <si>
    <t>555555</t>
  </si>
  <si>
    <t>A 2, Some Flat</t>
  </si>
  <si>
    <t>Some other Place, Some other Locality</t>
  </si>
  <si>
    <t>Some other Area</t>
  </si>
  <si>
    <t>Some Other City</t>
  </si>
  <si>
    <t>Some Other Group</t>
  </si>
  <si>
    <t>Do you want macro enabled excel worksheets like this one to be created for your firm (And are willing to pay for it ;-) )?  Go to https://www.elance.com and search for Alpha Rho Rho</t>
  </si>
  <si>
    <t>28123456</t>
  </si>
  <si>
    <t>971234567</t>
  </si>
  <si>
    <t>A 306, Mantri Sunshine</t>
  </si>
  <si>
    <t>Dibidibinahalli</t>
  </si>
  <si>
    <t>Dodanakundi PO</t>
  </si>
  <si>
    <t>Outer Ring Rd</t>
  </si>
  <si>
    <t>Bangalore 12</t>
  </si>
  <si>
    <t>Outer Ring Road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</si>
</sst>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0" fontId="7" fillId="0" borderId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1" xfId="0" applyFill="1" applyBorder="1" applyProtection="1">
      <protection locked="0"/>
    </xf>
    <xf numFmtId="0" fontId="2" fillId="2" borderId="1" xfId="0" applyFont="1" applyFill="1" applyBorder="1" applyProtection="1"/>
    <xf numFmtId="0" fontId="2" fillId="0" borderId="1" xfId="0" applyFont="1" applyBorder="1" applyProtection="1"/>
    <xf numFmtId="0" fontId="0" fillId="0" borderId="0" xfId="0" applyProtection="1"/>
    <xf numFmtId="0" fontId="0" fillId="0" borderId="1" xfId="0" applyBorder="1" applyProtection="1"/>
    <xf numFmtId="0" fontId="0" fillId="0" borderId="1" xfId="0" applyFill="1" applyBorder="1" applyProtection="1"/>
    <xf numFmtId="0" fontId="2" fillId="0" borderId="0" xfId="0" applyFont="1" applyProtection="1"/>
    <xf numFmtId="0" fontId="8" fillId="0" borderId="2" xfId="1" applyFont="1" applyBorder="1" applyAlignment="1"/>
    <xf numFmtId="0" fontId="8" fillId="0" borderId="3" xfId="1" applyFont="1" applyBorder="1" applyAlignment="1"/>
    <xf numFmtId="1" fontId="8" fillId="0" borderId="2" xfId="1" applyNumberFormat="1" applyFont="1" applyBorder="1" applyAlignment="1">
      <alignment horizontal="left"/>
    </xf>
    <xf numFmtId="49" fontId="8" fillId="0" borderId="2" xfId="1" applyNumberFormat="1" applyFont="1" applyBorder="1" applyAlignment="1"/>
    <xf numFmtId="49" fontId="8" fillId="0" borderId="2" xfId="1" applyNumberFormat="1" applyFont="1" applyFill="1" applyBorder="1" applyAlignment="1"/>
    <xf numFmtId="0" fontId="3" fillId="0" borderId="0" xfId="1" applyAlignment="1"/>
    <xf numFmtId="0" fontId="3" fillId="0" borderId="4" xfId="1" applyFill="1" applyBorder="1" applyAlignment="1"/>
    <xf numFmtId="1" fontId="3" fillId="0" borderId="1" xfId="1" applyNumberFormat="1" applyFill="1" applyBorder="1" applyAlignment="1">
      <alignment horizontal="left"/>
    </xf>
    <xf numFmtId="49" fontId="3" fillId="0" borderId="1" xfId="1" applyNumberFormat="1" applyFill="1" applyBorder="1" applyAlignment="1"/>
    <xf numFmtId="49" fontId="3" fillId="0" borderId="1" xfId="1" applyNumberFormat="1" applyFont="1" applyFill="1" applyBorder="1" applyAlignment="1"/>
    <xf numFmtId="0" fontId="3" fillId="0" borderId="1" xfId="1" applyBorder="1" applyAlignment="1"/>
    <xf numFmtId="0" fontId="3" fillId="0" borderId="1" xfId="1" applyNumberFormat="1" applyBorder="1" applyAlignment="1"/>
    <xf numFmtId="1" fontId="3" fillId="0" borderId="5" xfId="1" applyNumberFormat="1" applyFill="1" applyBorder="1" applyAlignment="1">
      <alignment horizontal="left"/>
    </xf>
    <xf numFmtId="0" fontId="3" fillId="0" borderId="5" xfId="1" applyFill="1" applyBorder="1" applyAlignment="1"/>
    <xf numFmtId="49" fontId="3" fillId="0" borderId="5" xfId="1" applyNumberFormat="1" applyFill="1" applyBorder="1" applyAlignment="1"/>
    <xf numFmtId="1" fontId="3" fillId="0" borderId="0" xfId="1" applyNumberFormat="1" applyAlignment="1">
      <alignment horizontal="left"/>
    </xf>
    <xf numFmtId="49" fontId="3" fillId="0" borderId="0" xfId="1" applyNumberFormat="1" applyAlignment="1"/>
    <xf numFmtId="0" fontId="9" fillId="0" borderId="1" xfId="0" applyFont="1" applyBorder="1" applyAlignment="1">
      <alignment vertical="top" wrapText="1"/>
    </xf>
    <xf numFmtId="0" fontId="4" fillId="0" borderId="1" xfId="0" applyFont="1" applyBorder="1"/>
    <xf numFmtId="0" fontId="9" fillId="0" borderId="1" xfId="0" applyFont="1" applyBorder="1" applyAlignment="1">
      <alignment vertical="top"/>
    </xf>
    <xf numFmtId="0" fontId="4" fillId="0" borderId="0" xfId="0" applyFont="1" applyAlignment="1">
      <alignment vertical="top" wrapText="1"/>
    </xf>
    <xf numFmtId="0" fontId="4" fillId="0" borderId="1" xfId="0" applyFont="1" applyFill="1" applyBorder="1"/>
    <xf numFmtId="0" fontId="4" fillId="0" borderId="0" xfId="0" applyFont="1"/>
    <xf numFmtId="15" fontId="4" fillId="0" borderId="1" xfId="0" applyNumberFormat="1" applyFont="1" applyFill="1" applyBorder="1"/>
    <xf numFmtId="49" fontId="4" fillId="0" borderId="1" xfId="0" applyNumberFormat="1" applyFont="1" applyFill="1" applyBorder="1"/>
    <xf numFmtId="14" fontId="4" fillId="0" borderId="1" xfId="0" applyNumberFormat="1" applyFont="1" applyFill="1" applyBorder="1"/>
    <xf numFmtId="49" fontId="4" fillId="0" borderId="0" xfId="0" applyNumberFormat="1" applyFont="1"/>
    <xf numFmtId="0" fontId="0" fillId="3" borderId="1" xfId="0" applyFill="1" applyBorder="1" applyProtection="1"/>
    <xf numFmtId="0" fontId="3" fillId="2" borderId="0" xfId="1" applyFill="1" applyAlignment="1"/>
    <xf numFmtId="0" fontId="1" fillId="0" borderId="1" xfId="0" applyFont="1" applyFill="1" applyBorder="1"/>
    <xf numFmtId="0" fontId="3" fillId="0" borderId="6" xfId="1" applyFill="1" applyBorder="1" applyAlignment="1"/>
    <xf numFmtId="0" fontId="3" fillId="0" borderId="5" xfId="1" applyNumberFormat="1" applyFill="1" applyBorder="1" applyAlignment="1"/>
    <xf numFmtId="0" fontId="9" fillId="0" borderId="4" xfId="0" applyFont="1" applyBorder="1" applyAlignment="1">
      <alignment vertical="top" wrapText="1"/>
    </xf>
    <xf numFmtId="0" fontId="4" fillId="0" borderId="4" xfId="0" applyFont="1" applyFill="1" applyBorder="1"/>
    <xf numFmtId="0" fontId="4" fillId="0" borderId="4" xfId="0" applyFont="1" applyBorder="1"/>
    <xf numFmtId="0" fontId="9" fillId="0" borderId="0" xfId="0" applyFont="1" applyBorder="1" applyAlignment="1">
      <alignment vertical="top" wrapText="1"/>
    </xf>
    <xf numFmtId="0" fontId="4" fillId="0" borderId="0" xfId="0" applyFont="1" applyBorder="1"/>
    <xf numFmtId="15" fontId="4" fillId="0" borderId="0" xfId="0" applyNumberFormat="1" applyFont="1" applyFill="1" applyBorder="1"/>
    <xf numFmtId="0" fontId="7" fillId="0" borderId="0" xfId="2" applyFont="1" applyProtection="1"/>
    <xf numFmtId="0" fontId="1" fillId="0" borderId="1" xfId="0" applyFont="1" applyBorder="1"/>
  </cellXfs>
  <cellStyles count="3">
    <cellStyle name="Normal" xfId="0" builtinId="0"/>
    <cellStyle name="Normal 2" xfId="1"/>
    <cellStyle name="Normal 3" xfId="2"/>
  </cellStyles>
  <dxfs count="25"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240196</xdr:colOff>
      <xdr:row>4</xdr:row>
      <xdr:rowOff>41413</xdr:rowOff>
    </xdr:from>
    <xdr:to>
      <xdr:col>16</xdr:col>
      <xdr:colOff>1499152</xdr:colOff>
      <xdr:row>11</xdr:row>
      <xdr:rowOff>157370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0668000" y="538370"/>
          <a:ext cx="2799522" cy="944217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Password to Protect/Unprotect</a:t>
          </a:r>
          <a:r>
            <a:rPr lang="en-GB" sz="1100" baseline="0"/>
            <a:t> Sheet:  abc</a:t>
          </a:r>
          <a:endParaRPr lang="en-GB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cob Oommen" refreshedDate="41327.346673958331" createdVersion="4" refreshedVersion="4" minRefreshableVersion="3" recordCount="231">
  <cacheSource type="worksheet">
    <worksheetSource ref="A1:R4" sheet="Receipts"/>
  </cacheSource>
  <cacheFields count="18">
    <cacheField name="Cover No" numFmtId="0">
      <sharedItems containsSemiMixedTypes="0" containsString="0" containsNumber="1" containsInteger="1" minValue="1" maxValue="231"/>
    </cacheField>
    <cacheField name="Sal" numFmtId="0">
      <sharedItems/>
    </cacheField>
    <cacheField name="Name" numFmtId="0">
      <sharedItems containsBlank="1"/>
    </cacheField>
    <cacheField name="Amount" numFmtId="0">
      <sharedItems containsString="0" containsBlank="1" containsNumber="1" containsInteger="1" minValue="100" maxValue="40000"/>
    </cacheField>
    <cacheField name="Date" numFmtId="15">
      <sharedItems containsNonDate="0" containsDate="1" containsString="0" containsBlank="1" minDate="2012-11-04T00:00:00" maxDate="2013-02-18T00:00:00"/>
    </cacheField>
    <cacheField name="Receipt No" numFmtId="0">
      <sharedItems containsBlank="1"/>
    </cacheField>
    <cacheField name="Account" numFmtId="0">
      <sharedItems containsBlank="1" count="4">
        <s v="Tithe"/>
        <s v="One Day Income"/>
        <m/>
        <s v="Building Fund" u="1"/>
      </sharedItems>
    </cacheField>
    <cacheField name="Type" numFmtId="0">
      <sharedItems containsBlank="1"/>
    </cacheField>
    <cacheField name="Bank" numFmtId="0">
      <sharedItems containsBlank="1"/>
    </cacheField>
    <cacheField name="Check No" numFmtId="0">
      <sharedItems containsBlank="1" containsMixedTypes="1" containsNumber="1" containsInteger="1" minValue="133649" maxValue="970515"/>
    </cacheField>
    <cacheField name="Dated" numFmtId="0">
      <sharedItems containsNonDate="0" containsDate="1" containsString="0" containsBlank="1" minDate="2013-01-12T00:00:00" maxDate="2013-02-18T00:00:00"/>
    </cacheField>
    <cacheField name="Name on Check" numFmtId="0">
      <sharedItems containsBlank="1"/>
    </cacheField>
    <cacheField name="Remarks" numFmtId="0">
      <sharedItems containsBlank="1"/>
    </cacheField>
    <cacheField name="Entry Status" numFmtId="0">
      <sharedItems containsBlank="1"/>
    </cacheField>
    <cacheField name="ER No" numFmtId="0">
      <sharedItems containsMixedTypes="1" containsNumber="1" containsInteger="1" minValue="1" maxValue="500"/>
    </cacheField>
    <cacheField name="Address on Envelope" numFmtId="0">
      <sharedItems containsBlank="1"/>
    </cacheField>
    <cacheField name="Address from Edavaka List" numFmtId="0">
      <sharedItems/>
    </cacheField>
    <cacheField name="Cum Amount" numFmtId="0">
      <sharedItems containsString="0" containsBlank="1" containsNumber="1" containsInteger="1" minValue="500" maxValue="444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1">
  <r>
    <n v="1"/>
    <s v="Mr. "/>
    <s v="Joel Jacob George"/>
    <n v="1000"/>
    <d v="2012-11-04T00:00:00"/>
    <s v="R1240"/>
    <x v="0"/>
    <s v="Cash"/>
    <m/>
    <m/>
    <m/>
    <m/>
    <m/>
    <s v="Entered"/>
    <n v="151"/>
    <m/>
    <s v="# 1776, 1st Floor, 25th Cross, 19th Main, HSR 2nd sector ,, Bangalore 102"/>
    <n v="1000"/>
  </r>
  <r>
    <n v="2"/>
    <e v="#N/A"/>
    <s v="Neesha Ross Mathew"/>
    <n v="3700"/>
    <d v="2012-11-04T00:00:00"/>
    <s v="R1241"/>
    <x v="0"/>
    <s v="Cash"/>
    <m/>
    <m/>
    <m/>
    <m/>
    <m/>
    <s v="Entered"/>
    <e v="#N/A"/>
    <m/>
    <e v="#N/A"/>
    <n v="4700"/>
  </r>
  <r>
    <n v="3"/>
    <s v="Mr. "/>
    <s v="Majush K Philip"/>
    <n v="6000"/>
    <d v="2012-11-04T00:00:00"/>
    <s v="R1242"/>
    <x v="0"/>
    <s v="Cash"/>
    <m/>
    <m/>
    <m/>
    <m/>
    <m/>
    <s v="Entered"/>
    <n v="165"/>
    <m/>
    <s v="L205, Purva Panorama, Kalena Agrahara, Begur Hobli ,BG Road , Bangalore 76"/>
    <n v="10700"/>
  </r>
  <r>
    <n v="4"/>
    <s v="Mr. "/>
    <s v="Philip Mathew"/>
    <n v="700"/>
    <d v="2012-11-04T00:00:00"/>
    <s v="R1243"/>
    <x v="0"/>
    <s v="Cash"/>
    <m/>
    <m/>
    <m/>
    <m/>
    <m/>
    <s v="Entered"/>
    <n v="17"/>
    <m/>
    <s v="#128, Bansankari Nilaya, Koramagala, Bangalore 95 ,, "/>
    <n v="11400"/>
  </r>
  <r>
    <n v="5"/>
    <e v="#N/A"/>
    <s v="Joby K Joseph"/>
    <n v="1000"/>
    <d v="2012-11-04T00:00:00"/>
    <s v="R1244"/>
    <x v="0"/>
    <s v="Cash"/>
    <m/>
    <m/>
    <m/>
    <m/>
    <m/>
    <s v="Entered"/>
    <e v="#N/A"/>
    <s v="BTM Layout"/>
    <e v="#N/A"/>
    <n v="12400"/>
  </r>
  <r>
    <n v="6"/>
    <s v="Mr. "/>
    <s v="John P G"/>
    <n v="2000"/>
    <d v="2012-11-04T00:00:00"/>
    <s v="R1245"/>
    <x v="0"/>
    <s v="Cash"/>
    <m/>
    <m/>
    <m/>
    <m/>
    <m/>
    <s v="Entered"/>
    <n v="59"/>
    <m/>
    <s v="Block 42, Qrt No. 566, CPWD Quarters, 27th Main, HSR Layout ,Bangalore 102, "/>
    <n v="14400"/>
  </r>
  <r>
    <n v="7"/>
    <e v="#N/A"/>
    <s v="Abraham V Mathew"/>
    <n v="500"/>
    <d v="2012-11-04T00:00:00"/>
    <s v="R1246"/>
    <x v="0"/>
    <s v="Cash"/>
    <m/>
    <m/>
    <m/>
    <m/>
    <m/>
    <s v="Entered"/>
    <e v="#N/A"/>
    <s v="Koramangala"/>
    <e v="#N/A"/>
    <n v="14900"/>
  </r>
  <r>
    <n v="8"/>
    <e v="#N/A"/>
    <s v="Mathew Joshy Joseph"/>
    <n v="500"/>
    <d v="2012-11-04T00:00:00"/>
    <s v="R1247"/>
    <x v="0"/>
    <s v="Cash"/>
    <m/>
    <m/>
    <m/>
    <m/>
    <s v="Address of Mathew K V"/>
    <s v="Entered"/>
    <e v="#N/A"/>
    <s v="1C Shalom Manor, Country Side Layout, Sarjapur Road"/>
    <e v="#N/A"/>
    <n v="15400"/>
  </r>
  <r>
    <n v="9"/>
    <e v="#N/A"/>
    <s v="Gary Thomas George"/>
    <n v="250"/>
    <d v="2012-11-04T00:00:00"/>
    <s v="R1248"/>
    <x v="0"/>
    <s v="Cash"/>
    <m/>
    <m/>
    <m/>
    <m/>
    <m/>
    <s v="Entered"/>
    <e v="#N/A"/>
    <s v="PSR PG, Near Nanda's, Sector-1, HSR Layout"/>
    <e v="#N/A"/>
    <n v="15650"/>
  </r>
  <r>
    <n v="10"/>
    <s v="Mr. "/>
    <s v="John C T"/>
    <n v="2000"/>
    <d v="2012-11-04T00:00:00"/>
    <s v="R1249"/>
    <x v="0"/>
    <s v="Cash"/>
    <m/>
    <m/>
    <m/>
    <m/>
    <m/>
    <s v="Entered"/>
    <n v="33"/>
    <m/>
    <s v="T-4 Palm Grove Apts:, 10/1 1st Main 4th Cross, 6th Blk ,Koramangala, Bangalore"/>
    <n v="17650"/>
  </r>
  <r>
    <n v="11"/>
    <s v="Mr. "/>
    <s v="Sijo Samuel"/>
    <n v="200"/>
    <d v="2012-11-04T00:00:00"/>
    <s v="R1250"/>
    <x v="0"/>
    <s v="Cash"/>
    <m/>
    <m/>
    <m/>
    <m/>
    <m/>
    <s v="Entered"/>
    <n v="119"/>
    <s v="BTM Layout"/>
    <s v="Antony House, No. 39/40, Church Street, Old Madiwala,  ,Bangalore 68, "/>
    <n v="17850"/>
  </r>
  <r>
    <n v="12"/>
    <s v="Rev."/>
    <s v="Johnson K M"/>
    <n v="1600"/>
    <d v="2012-11-04T00:00:00"/>
    <s v="R1401"/>
    <x v="0"/>
    <s v="Cash"/>
    <m/>
    <m/>
    <m/>
    <m/>
    <m/>
    <s v="Entered"/>
    <n v="500"/>
    <m/>
    <s v="B104, Oceanus Triton, Belandur P.O.Off Sarjapur Road ,Bangalore 103, "/>
    <n v="19450"/>
  </r>
  <r>
    <n v="13"/>
    <s v="Cmd."/>
    <s v="George P G (HSR)"/>
    <n v="2000"/>
    <d v="2012-11-04T00:00:00"/>
    <s v="R1402"/>
    <x v="0"/>
    <s v="Cash"/>
    <m/>
    <m/>
    <m/>
    <m/>
    <m/>
    <s v="Entered"/>
    <n v="198"/>
    <m/>
    <s v="#597, 15th B Main, 15th Cross, Sector 4, HSR Layout  ,Bangalore 102, "/>
    <n v="21450"/>
  </r>
  <r>
    <n v="14"/>
    <s v="Mr. "/>
    <s v="Benjie Thomas Blesson"/>
    <n v="1000"/>
    <d v="2012-11-04T00:00:00"/>
    <s v="R1403"/>
    <x v="0"/>
    <s v="Cash"/>
    <m/>
    <m/>
    <m/>
    <m/>
    <m/>
    <s v="Entered"/>
    <n v="91"/>
    <m/>
    <s v="No. 553, 69th Cross, 14th main ,Kumaraswamy Layout, Bangalore"/>
    <n v="22450"/>
  </r>
  <r>
    <n v="15"/>
    <s v="Mr. "/>
    <s v="Varghese John"/>
    <n v="2000"/>
    <d v="2012-11-04T00:00:00"/>
    <s v="R1404"/>
    <x v="0"/>
    <s v="Cash"/>
    <m/>
    <m/>
    <m/>
    <m/>
    <m/>
    <s v="Entered"/>
    <n v="52"/>
    <m/>
    <s v="No. 95 4th Cross, Vastu Enclave, Kudalu Village ,Hosur Road, Bangalore"/>
    <n v="24450"/>
  </r>
  <r>
    <n v="16"/>
    <s v="Mr. "/>
    <s v="Biju John"/>
    <n v="1000"/>
    <d v="2012-11-04T00:00:00"/>
    <s v="R1405"/>
    <x v="0"/>
    <s v="Cash"/>
    <m/>
    <m/>
    <m/>
    <m/>
    <m/>
    <s v="Entered"/>
    <n v="166"/>
    <m/>
    <s v="284, 10th Cross, 1st Block, Vishwapriya Nagar, Bejaur,  ,Bangalore 68, "/>
    <n v="25450"/>
  </r>
  <r>
    <n v="17"/>
    <s v="Mr"/>
    <s v="Philip Varkey"/>
    <n v="2000"/>
    <d v="2012-11-04T00:00:00"/>
    <s v="R1406"/>
    <x v="0"/>
    <s v="Cash"/>
    <m/>
    <m/>
    <m/>
    <m/>
    <m/>
    <s v="Entered"/>
    <n v="117"/>
    <m/>
    <s v="No. 8, Ramakrishna Nivas, Bilekally P.O, Bannerghata Road, DC Halli ,Bangalore 76, "/>
    <n v="27450"/>
  </r>
  <r>
    <n v="18"/>
    <e v="#N/A"/>
    <s v="Joseph Thomas"/>
    <n v="500"/>
    <d v="2012-11-04T00:00:00"/>
    <s v="R1407"/>
    <x v="0"/>
    <s v="Cash"/>
    <m/>
    <m/>
    <m/>
    <m/>
    <m/>
    <s v="Entered"/>
    <e v="#N/A"/>
    <m/>
    <e v="#N/A"/>
    <n v="27950"/>
  </r>
  <r>
    <n v="19"/>
    <s v="Mr. "/>
    <s v="Mathew Kutty N K"/>
    <n v="200"/>
    <d v="2012-11-04T00:00:00"/>
    <s v="R1408"/>
    <x v="0"/>
    <s v="Cash"/>
    <m/>
    <m/>
    <m/>
    <m/>
    <m/>
    <s v="Entered"/>
    <n v="11"/>
    <m/>
    <s v="49/3, 5th Cross 3rd Main, Jakkasandra ,Koramangala, Bangalore"/>
    <n v="28150"/>
  </r>
  <r>
    <n v="20"/>
    <s v="Mr. "/>
    <s v="Shiju George Abraham"/>
    <n v="7500"/>
    <d v="2012-11-04T00:00:00"/>
    <s v="R1409"/>
    <x v="0"/>
    <s v="Cash"/>
    <m/>
    <m/>
    <m/>
    <m/>
    <m/>
    <s v="Entered"/>
    <n v="174"/>
    <m/>
    <s v="D2-1005, , L&amp;T South City, Mico Layout, , Banerghta Road ,, Blr 76"/>
    <n v="35650"/>
  </r>
  <r>
    <n v="21"/>
    <s v="Mr. "/>
    <s v="Jacob Thomas"/>
    <n v="2000"/>
    <d v="2012-11-04T00:00:00"/>
    <s v="R1410"/>
    <x v="0"/>
    <s v="Cash"/>
    <m/>
    <m/>
    <m/>
    <m/>
    <m/>
    <s v="Entered"/>
    <n v="92"/>
    <m/>
    <s v="#34/139, 4th Cross, GERE College Rd, Dodakanahalli ,Carmalram PO, Bangalore 35"/>
    <n v="37650"/>
  </r>
  <r>
    <n v="22"/>
    <s v="Mr. "/>
    <s v="Jilson E Samuel"/>
    <n v="500"/>
    <d v="2012-11-04T00:00:00"/>
    <s v="R1411"/>
    <x v="0"/>
    <s v="Cash"/>
    <m/>
    <m/>
    <m/>
    <m/>
    <m/>
    <s v="Entered"/>
    <n v="181"/>
    <m/>
    <s v="#553, 69th Cross, 4th Main, Kumaraswamy Layout,  ,, Bangalore 78"/>
    <n v="38150"/>
  </r>
  <r>
    <n v="23"/>
    <s v="Mr. "/>
    <s v="Jacob Chacko Kurichethu"/>
    <n v="1000"/>
    <d v="2012-11-04T00:00:00"/>
    <s v="R1412"/>
    <x v="0"/>
    <s v="Cash"/>
    <m/>
    <m/>
    <m/>
    <m/>
    <m/>
    <s v="Entered"/>
    <n v="5"/>
    <m/>
    <s v="12(No-3)1st B-Main, C.R Layout, ST Bed ,Koramangala, Bangalore"/>
    <n v="39150"/>
  </r>
  <r>
    <n v="25"/>
    <s v="Mr. "/>
    <s v="Sunil Thomas"/>
    <n v="500"/>
    <d v="2012-11-04T00:00:00"/>
    <s v="R1413"/>
    <x v="0"/>
    <s v="Cash"/>
    <m/>
    <m/>
    <m/>
    <m/>
    <m/>
    <s v="Entered"/>
    <n v="179"/>
    <m/>
    <s v="Kunnampilly House, 85/1, , 4th A Cross, Maruthi Nagar, Madivala ,, Bangalore 68"/>
    <n v="39650"/>
  </r>
  <r>
    <n v="26"/>
    <s v="Mr. "/>
    <s v="Bejoy Idiculla"/>
    <n v="5000"/>
    <d v="2012-11-04T00:00:00"/>
    <s v="R1414"/>
    <x v="0"/>
    <s v="Cash"/>
    <m/>
    <m/>
    <m/>
    <m/>
    <m/>
    <s v="Entered"/>
    <n v="167"/>
    <m/>
    <s v="# 46, 6th Cross, Pai Layout, Hulimavu, Bannerghatta Road,  ,Bangalore , "/>
    <n v="44650"/>
  </r>
  <r>
    <n v="27"/>
    <s v="Dr."/>
    <s v="Sachith Abraham"/>
    <n v="5000"/>
    <d v="2012-11-04T00:00:00"/>
    <s v="R1415"/>
    <x v="0"/>
    <s v="Cash"/>
    <m/>
    <m/>
    <m/>
    <m/>
    <m/>
    <s v="Entered"/>
    <n v="190"/>
    <m/>
    <s v="No.682 Manaloor, 12th cross, Sector-1 ,H S R, Bangalore 102"/>
    <n v="49650"/>
  </r>
  <r>
    <n v="28"/>
    <s v="Mr. "/>
    <s v="Tony M John"/>
    <n v="4000"/>
    <d v="2012-11-04T00:00:00"/>
    <s v="R1416"/>
    <x v="0"/>
    <s v="Cash"/>
    <m/>
    <m/>
    <m/>
    <m/>
    <m/>
    <s v="Entered"/>
    <n v="76"/>
    <m/>
    <s v="No. 117, Trinity Meadows, Bellandur. P. O ,Off Sarjapur Road, Bangalore 103"/>
    <n v="53650"/>
  </r>
  <r>
    <n v="29"/>
    <s v="Mr"/>
    <s v="Vineeth P Kunju"/>
    <n v="1000"/>
    <d v="2012-11-04T00:00:00"/>
    <s v="R1417"/>
    <x v="0"/>
    <s v="Cash"/>
    <m/>
    <m/>
    <m/>
    <m/>
    <m/>
    <s v="Entered"/>
    <n v="118"/>
    <m/>
    <s v="#303, Sreenidhi Regency, Bhoomi Plaza Lane, Kasvanahalli, Sarjapur Road ,Bangalore 35, "/>
    <n v="54650"/>
  </r>
  <r>
    <n v="30"/>
    <s v="Mr. "/>
    <s v="Siju K Jacob"/>
    <n v="2000"/>
    <d v="2012-11-04T00:00:00"/>
    <s v="R1418"/>
    <x v="0"/>
    <s v="Cash"/>
    <m/>
    <m/>
    <m/>
    <m/>
    <m/>
    <s v="Entered"/>
    <n v="194"/>
    <m/>
    <s v="#209, 7th Cross, 27th Main, HSR 1st Sector ,, Bangalore 34"/>
    <n v="56650"/>
  </r>
  <r>
    <n v="31"/>
    <s v="Mr."/>
    <s v="John Thomas"/>
    <n v="1000"/>
    <d v="2012-11-04T00:00:00"/>
    <s v="R1419"/>
    <x v="0"/>
    <s v="Cash"/>
    <m/>
    <m/>
    <m/>
    <m/>
    <m/>
    <s v="Entered"/>
    <s v="125"/>
    <m/>
    <s v="104, Kalabhai Rai Apts, New No.23, New Thippasandra,  ,Bangalore 75, "/>
    <n v="57650"/>
  </r>
  <r>
    <n v="24"/>
    <s v="Mr. "/>
    <s v="John Varghese"/>
    <n v="2000"/>
    <d v="2012-11-04T00:00:00"/>
    <s v="R1420"/>
    <x v="0"/>
    <s v="Cash"/>
    <m/>
    <m/>
    <m/>
    <m/>
    <m/>
    <s v="Entered"/>
    <n v="124"/>
    <m/>
    <s v="284, 3rd Cross 1 A Main, Jakkasandra,  ,Bangalore 34, "/>
    <n v="59650"/>
  </r>
  <r>
    <n v="32"/>
    <s v="Mr. "/>
    <s v="Shaji Idiculla Varghese"/>
    <n v="1000"/>
    <d v="2012-11-04T00:00:00"/>
    <s v="R1421"/>
    <x v="0"/>
    <s v="Cash"/>
    <m/>
    <m/>
    <m/>
    <m/>
    <m/>
    <s v="Entered"/>
    <n v="32"/>
    <s v="D213, Sterling Brookside,Kundanahalli Colony"/>
    <s v="# 262, 3rd Cross, , Jakkasandra, Kormangala ,Bangalore 34, "/>
    <n v="60650"/>
  </r>
  <r>
    <n v="33"/>
    <e v="#N/A"/>
    <s v="Jibu A Mathew"/>
    <n v="500"/>
    <d v="2012-11-04T00:00:00"/>
    <s v="R1422"/>
    <x v="0"/>
    <s v="Cash"/>
    <m/>
    <m/>
    <m/>
    <m/>
    <m/>
    <s v="Entered"/>
    <e v="#N/A"/>
    <m/>
    <e v="#N/A"/>
    <n v="61150"/>
  </r>
  <r>
    <n v="34"/>
    <e v="#N/A"/>
    <s v="Unknown"/>
    <n v="100"/>
    <d v="2012-11-04T00:00:00"/>
    <s v="R1423"/>
    <x v="0"/>
    <s v="Cash"/>
    <m/>
    <m/>
    <m/>
    <m/>
    <m/>
    <s v="Entered"/>
    <e v="#N/A"/>
    <m/>
    <e v="#N/A"/>
    <n v="61250"/>
  </r>
  <r>
    <n v="35"/>
    <s v="Mr. "/>
    <s v="Robin T Mathew"/>
    <n v="500"/>
    <d v="2012-11-04T00:00:00"/>
    <s v="R1424"/>
    <x v="0"/>
    <s v="Cash"/>
    <m/>
    <m/>
    <m/>
    <m/>
    <m/>
    <s v="Entered"/>
    <n v="88"/>
    <m/>
    <s v="No 611, Confident Antlia - 1, Sarjapur Attibele Road ,Bangalore 125, "/>
    <n v="61750"/>
  </r>
  <r>
    <n v="36"/>
    <s v="Mr. "/>
    <s v="Shaji Jose"/>
    <n v="1000"/>
    <d v="2012-11-04T00:00:00"/>
    <s v="R1425"/>
    <x v="0"/>
    <s v="Cash"/>
    <m/>
    <m/>
    <m/>
    <m/>
    <m/>
    <s v="Entered"/>
    <n v="122"/>
    <m/>
    <s v="No 128, Bansakari Nilaya, Koramangala 95 ,, "/>
    <n v="62750"/>
  </r>
  <r>
    <n v="37"/>
    <s v="Ms."/>
    <s v="Blessy Susan Biji"/>
    <n v="100"/>
    <d v="2012-11-04T00:00:00"/>
    <s v="R1426"/>
    <x v="0"/>
    <s v="Cash"/>
    <m/>
    <m/>
    <m/>
    <m/>
    <m/>
    <s v="Entered"/>
    <n v="130"/>
    <m/>
    <s v="St. Johns Nursing College, Sarjapur Road, Koramangala ,Bangalore 34, "/>
    <n v="62850"/>
  </r>
  <r>
    <n v="38"/>
    <e v="#N/A"/>
    <s v="Unknown"/>
    <n v="2000"/>
    <d v="2012-11-04T00:00:00"/>
    <s v="R1427"/>
    <x v="0"/>
    <s v="Cash"/>
    <m/>
    <m/>
    <m/>
    <m/>
    <m/>
    <s v="Entered"/>
    <e v="#N/A"/>
    <m/>
    <e v="#N/A"/>
    <n v="64850"/>
  </r>
  <r>
    <n v="39"/>
    <s v="Mr. "/>
    <s v="Shiju Mathew"/>
    <n v="200"/>
    <d v="2012-11-04T00:00:00"/>
    <s v="R1428"/>
    <x v="0"/>
    <s v="Cash"/>
    <m/>
    <m/>
    <m/>
    <m/>
    <m/>
    <s v="Entered"/>
    <n v="200"/>
    <m/>
    <s v="No 18/7, 7th B cros, .Venkatapura Extn, Kormangala ,Bangalore 34, "/>
    <n v="65050"/>
  </r>
  <r>
    <n v="40"/>
    <s v="Mr. "/>
    <s v="Paul Mathai"/>
    <n v="2000"/>
    <d v="2012-11-04T00:00:00"/>
    <s v="R1429"/>
    <x v="0"/>
    <s v="Cash"/>
    <m/>
    <m/>
    <m/>
    <m/>
    <m/>
    <s v="Entered"/>
    <n v="26"/>
    <m/>
    <s v="No.101, Divya Jyothi Apts: 7th Cross, 4th Block ,ST Bed, Bangalore 47"/>
    <n v="67050"/>
  </r>
  <r>
    <n v="41"/>
    <s v="Mr. "/>
    <s v="Jose Thomas"/>
    <n v="4600"/>
    <d v="2012-11-04T00:00:00"/>
    <s v="R1430"/>
    <x v="0"/>
    <s v="Cash"/>
    <m/>
    <m/>
    <m/>
    <m/>
    <m/>
    <s v="Entered"/>
    <n v="182"/>
    <m/>
    <s v="PG 506, Purva Panorama, Kalena Agrahara, Begur Hobli ,BG Road , Bangalore 76"/>
    <n v="71650"/>
  </r>
  <r>
    <n v="42"/>
    <s v="Mr. "/>
    <s v="Lenchi Easow Varghese"/>
    <n v="5000"/>
    <d v="2012-11-04T00:00:00"/>
    <s v="R1431"/>
    <x v="0"/>
    <s v="Cash"/>
    <m/>
    <m/>
    <m/>
    <m/>
    <m/>
    <s v="Entered"/>
    <n v="60"/>
    <m/>
    <s v="# 279, 12th A Main, 20th Cross, 7th Sector, HSR Layout ,, Bangalore 102"/>
    <n v="76650"/>
  </r>
  <r>
    <n v="43"/>
    <s v="Mr. "/>
    <s v="Mathew Easow Jacob"/>
    <n v="2000"/>
    <d v="2012-11-04T00:00:00"/>
    <s v="R1432"/>
    <x v="0"/>
    <s v="Cash"/>
    <m/>
    <m/>
    <m/>
    <m/>
    <m/>
    <s v="Entered"/>
    <n v="56"/>
    <m/>
    <s v="No. 1885 1st floor, 25th A cross, 2nd sector ,HSR, Bangalore 34"/>
    <n v="78650"/>
  </r>
  <r>
    <n v="44"/>
    <s v="Mr. "/>
    <s v="Thomas Scariah"/>
    <n v="2000"/>
    <d v="2012-11-04T00:00:00"/>
    <s v="R1433"/>
    <x v="0"/>
    <s v="Cash"/>
    <m/>
    <m/>
    <m/>
    <m/>
    <m/>
    <s v="Entered"/>
    <n v="131"/>
    <m/>
    <s v="407, 1st floor, 5th Main, 5th Avenue, Teachers Colony ,Bangalore 34, "/>
    <n v="80650"/>
  </r>
  <r>
    <n v="45"/>
    <s v="Mr. "/>
    <s v="Sony Varghese"/>
    <n v="500"/>
    <d v="2012-11-04T00:00:00"/>
    <s v="R1434"/>
    <x v="0"/>
    <s v="Cash"/>
    <m/>
    <m/>
    <m/>
    <m/>
    <m/>
    <s v="Entered"/>
    <n v="196"/>
    <m/>
    <s v="B-209, Creative Residency, New BESCOM Power Station , HSR 2nd sector ,, Bangalore 102"/>
    <n v="81150"/>
  </r>
  <r>
    <n v="46"/>
    <s v="Mr. "/>
    <s v="Anish K Mathew"/>
    <n v="2000"/>
    <d v="2012-11-04T00:00:00"/>
    <s v="R1435"/>
    <x v="0"/>
    <s v="Cash"/>
    <m/>
    <m/>
    <m/>
    <m/>
    <m/>
    <s v="Entered"/>
    <n v="175"/>
    <m/>
    <s v="#102, Emerald Residency, 42nd Main, 4th Cross, BTM 2nd Stage ,Bangalore, "/>
    <n v="83150"/>
  </r>
  <r>
    <n v="47"/>
    <s v="Mr. "/>
    <s v="Thomas Mathew"/>
    <n v="1000"/>
    <d v="2012-11-04T00:00:00"/>
    <s v="R1436"/>
    <x v="0"/>
    <s v="Cash"/>
    <m/>
    <m/>
    <m/>
    <m/>
    <m/>
    <s v="Entered"/>
    <n v="77"/>
    <m/>
    <s v="F-404, Oceanus Freesia, Bellandur.P.O ,Off Sarjapur Road, Bangalore 103"/>
    <n v="84150"/>
  </r>
  <r>
    <n v="48"/>
    <s v="Mr. "/>
    <s v="Moti John Thomas"/>
    <n v="2000"/>
    <d v="2012-11-04T00:00:00"/>
    <s v="R1437"/>
    <x v="0"/>
    <s v="Cash"/>
    <m/>
    <m/>
    <m/>
    <m/>
    <m/>
    <s v="Entered"/>
    <n v="70"/>
    <m/>
    <s v="4  Trinity Meadows, Bellandur.P.O, Off Sarjapur Rd ,Bangalore 103, "/>
    <n v="86150"/>
  </r>
  <r>
    <n v="49"/>
    <s v="Mr. "/>
    <s v="Binu Mathew"/>
    <n v="1000"/>
    <d v="2012-11-04T00:00:00"/>
    <s v="R1438"/>
    <x v="0"/>
    <s v="Cash"/>
    <m/>
    <m/>
    <m/>
    <m/>
    <m/>
    <s v="Entered"/>
    <n v="34"/>
    <m/>
    <s v="No.14(470/353) 2nd Flr, St.Anne's Anthony Lourdu Mary Villa, V S R Layout 8th Blk ,Koramangala, Bangalore 95"/>
    <n v="87150"/>
  </r>
  <r>
    <n v="50"/>
    <s v="Mr. "/>
    <s v="Alexander D"/>
    <n v="500"/>
    <d v="2012-11-04T00:00:00"/>
    <s v="R1439"/>
    <x v="0"/>
    <s v="Cash"/>
    <m/>
    <m/>
    <m/>
    <m/>
    <m/>
    <s v="Entered"/>
    <n v="193"/>
    <m/>
    <s v="QR # 23/319, CPWD Quarters, 27th Main,  ,HSR, Bangalore 102"/>
    <n v="87650"/>
  </r>
  <r>
    <n v="51"/>
    <s v="Mr. "/>
    <s v="Alex G Manapurathu"/>
    <n v="5000"/>
    <d v="2012-11-04T00:00:00"/>
    <s v="R1440"/>
    <x v="0"/>
    <s v="Cheque"/>
    <s v="SBI"/>
    <n v="159585"/>
    <m/>
    <m/>
    <m/>
    <s v="Entered"/>
    <n v="61"/>
    <m/>
    <s v="40 Rainbow Drive, Carmelaram.P.O, Sarjapur Road ,Bangalore 35, "/>
    <n v="92650"/>
  </r>
  <r>
    <n v="52"/>
    <s v="Mr. "/>
    <s v="Binu Philip"/>
    <n v="10000"/>
    <d v="2012-11-04T00:00:00"/>
    <s v="R1441"/>
    <x v="0"/>
    <s v="Cheque"/>
    <s v="ICICI Bank"/>
    <s v="547176"/>
    <m/>
    <m/>
    <m/>
    <s v="Entered"/>
    <n v="94"/>
    <m/>
    <s v="Flat # 206, Subin Residency Apartments, opposite 4th Cross, BDS garden, Jeddalahalli  ,Kothanur PO, Bangalore 77"/>
    <n v="102650"/>
  </r>
  <r>
    <n v="53"/>
    <e v="#N/A"/>
    <s v="Binu Mathews Palapoikayil"/>
    <n v="20000"/>
    <d v="2012-11-04T00:00:00"/>
    <s v="R1442"/>
    <x v="0"/>
    <s v="Cheque"/>
    <s v="ICICI Bank"/>
    <n v="187541"/>
    <m/>
    <m/>
    <m/>
    <s v="Entered"/>
    <e v="#N/A"/>
    <s v="202, Golden Nest Apartments, 29 Adugodi, Bangalore 560030"/>
    <e v="#N/A"/>
    <n v="122650"/>
  </r>
  <r>
    <n v="54"/>
    <s v="Mr. "/>
    <s v="Verghese M C"/>
    <n v="3000"/>
    <d v="2012-11-04T00:00:00"/>
    <s v="R1443"/>
    <x v="0"/>
    <s v="Cheque"/>
    <s v="SBI"/>
    <s v="022232"/>
    <m/>
    <m/>
    <m/>
    <s v="Entered"/>
    <n v="78"/>
    <m/>
    <s v="38/139 TrinityMeadows, Bellandur. P.O, Off Sarjapur Road ,Bangalore, "/>
    <n v="125650"/>
  </r>
  <r>
    <n v="55"/>
    <s v="Mr. "/>
    <s v="Kurien K Eapen"/>
    <n v="15000"/>
    <d v="2012-11-04T00:00:00"/>
    <s v="R1444"/>
    <x v="0"/>
    <s v="Cheque"/>
    <s v="Citi"/>
    <n v="240367"/>
    <m/>
    <m/>
    <m/>
    <s v="Entered"/>
    <n v="41"/>
    <m/>
    <s v="No.47, Rain bow Drive, Carmelaram.P.O ,Sarjapur Road, Bangalore 35"/>
    <n v="140650"/>
  </r>
  <r>
    <n v="56"/>
    <s v="Mr. "/>
    <s v="Biju S Kunjukunju"/>
    <n v="3000"/>
    <d v="2012-11-04T00:00:00"/>
    <s v="R1445"/>
    <x v="0"/>
    <s v="Cheque"/>
    <s v="HDFC"/>
    <n v="133649"/>
    <m/>
    <m/>
    <m/>
    <s v="Entered"/>
    <n v="146"/>
    <m/>
    <s v="6062, Sobha Iris, Devarabisanahalli, Opp Intel, Outer Ring Road ,Bangalore 35, "/>
    <n v="143650"/>
  </r>
  <r>
    <n v="57"/>
    <s v="Mr. "/>
    <s v="Mathew Varghese"/>
    <n v="5000"/>
    <d v="2012-11-04T00:00:00"/>
    <s v="R1446"/>
    <x v="0"/>
    <s v="Cheque"/>
    <s v="HDFC"/>
    <n v="450790"/>
    <m/>
    <m/>
    <m/>
    <s v="Entered"/>
    <n v="90"/>
    <m/>
    <s v="No. 87, ShalomNear AECS Layout, Kalanikethan Rd ,Kudalu, Bangalore"/>
    <n v="148650"/>
  </r>
  <r>
    <n v="58"/>
    <s v="Mr. "/>
    <s v="David C Mathew"/>
    <n v="15000"/>
    <d v="2012-11-04T00:00:00"/>
    <s v="R1447"/>
    <x v="0"/>
    <s v="Cheque"/>
    <s v="Union Bank"/>
    <s v="003721"/>
    <m/>
    <m/>
    <m/>
    <s v="Entered"/>
    <n v="8"/>
    <m/>
    <s v="1B 406, Elan Homes, Kaikondanahalli ,Bangalore 35, "/>
    <n v="163650"/>
  </r>
  <r>
    <n v="59"/>
    <s v="Mr. "/>
    <s v="Abraham M A"/>
    <n v="2000"/>
    <d v="2012-11-04T00:00:00"/>
    <s v="R1448"/>
    <x v="0"/>
    <s v="Cheque"/>
    <s v="Federal Bank"/>
    <s v="007873"/>
    <m/>
    <m/>
    <m/>
    <s v="Entered"/>
    <n v="39"/>
    <m/>
    <s v="No.682 Manaloor, 12th cross, Sector-1 ,H S R, Bangalore 102"/>
    <n v="165650"/>
  </r>
  <r>
    <n v="60"/>
    <s v="Mr. "/>
    <s v="George Chacko"/>
    <n v="10000"/>
    <d v="2012-11-04T00:00:00"/>
    <s v="R1449"/>
    <x v="0"/>
    <s v="Cheque"/>
    <s v="Citi"/>
    <n v="970515"/>
    <m/>
    <m/>
    <m/>
    <s v="Entered"/>
    <n v="79"/>
    <m/>
    <s v="No.5, The Country Side, Carmelaram.P.O ,Sarjapur Road, Bangalore 35"/>
    <n v="175650"/>
  </r>
  <r>
    <n v="61"/>
    <s v="Mr. "/>
    <s v="Linu Mathew Koshy"/>
    <n v="9000"/>
    <d v="2012-11-04T00:00:00"/>
    <s v="R1450"/>
    <x v="0"/>
    <s v="Cheque"/>
    <s v="Citi"/>
    <n v="195878"/>
    <m/>
    <s v="Anitha Renu Alex"/>
    <m/>
    <s v="Entered"/>
    <n v="138"/>
    <m/>
    <s v="# 635, 1st Floor, 5th Cross, 4th Block ,Koramangala, Bangalore 34"/>
    <n v="184650"/>
  </r>
  <r>
    <n v="62"/>
    <s v="Mr. "/>
    <s v="Abraham V K"/>
    <n v="500"/>
    <d v="2012-11-11T00:00:00"/>
    <s v="R1452"/>
    <x v="0"/>
    <s v="Cash"/>
    <m/>
    <m/>
    <m/>
    <m/>
    <m/>
    <s v="Entered"/>
    <n v="89"/>
    <m/>
    <s v="Inphom, Prasanth Garden's, Manipal Country Rd ,Bommanahalli, Bangalore"/>
    <n v="185150"/>
  </r>
  <r>
    <n v="63"/>
    <e v="#N/A"/>
    <s v="Nebu Thomas"/>
    <n v="3500"/>
    <d v="2012-11-11T00:00:00"/>
    <s v="R1453"/>
    <x v="0"/>
    <s v="Cash"/>
    <m/>
    <m/>
    <m/>
    <m/>
    <m/>
    <s v="Entered"/>
    <e v="#N/A"/>
    <s v="No: 169, Prakathi Nagar, Electronic City"/>
    <e v="#N/A"/>
    <n v="188650"/>
  </r>
  <r>
    <n v="64"/>
    <s v="Mr"/>
    <s v="Bliss M Papan"/>
    <n v="2000"/>
    <d v="2012-11-11T00:00:00"/>
    <s v="R1454"/>
    <x v="0"/>
    <s v="Cash"/>
    <m/>
    <m/>
    <m/>
    <m/>
    <m/>
    <s v="Entered"/>
    <n v="162"/>
    <m/>
    <s v="781, Ambli, 28th Main, 2nd Stage, 1st Phase, BTM Layout ,Bangalore 76, "/>
    <n v="190650"/>
  </r>
  <r>
    <n v="65"/>
    <s v="Mr. "/>
    <s v="Dan Philip Thomas"/>
    <n v="1500"/>
    <d v="2012-11-11T00:00:00"/>
    <s v="R1455"/>
    <x v="0"/>
    <s v="Cash"/>
    <m/>
    <m/>
    <m/>
    <m/>
    <m/>
    <s v="Entered"/>
    <n v="169"/>
    <m/>
    <s v="S3, Sai SAGAS, , 2nd Floor, Akshayanagar, Kowdenhalli Village, TC Palaya Main Road ,Bangalore 16, "/>
    <n v="192150"/>
  </r>
  <r>
    <n v="66"/>
    <s v="Mr. "/>
    <s v="Soj Thomas"/>
    <n v="2000"/>
    <d v="2012-11-11T00:00:00"/>
    <s v="R1456"/>
    <x v="0"/>
    <s v="Cash"/>
    <m/>
    <m/>
    <m/>
    <m/>
    <m/>
    <s v="Entered"/>
    <n v="48"/>
    <m/>
    <s v="Apt: D-303, Purva Fair Mount, Sector-2 ,HSR Layout, Bangalore 102"/>
    <n v="194150"/>
  </r>
  <r>
    <n v="67"/>
    <s v="Mr. "/>
    <s v="Roy Eapen Sam"/>
    <n v="2000"/>
    <d v="2012-11-11T00:00:00"/>
    <s v="R1457"/>
    <x v="0"/>
    <s v="Cash"/>
    <m/>
    <m/>
    <m/>
    <m/>
    <m/>
    <s v="Entered"/>
    <n v="46"/>
    <m/>
    <s v="T4, Misty Medows, HSR 2nd Sector,  ,, Bangalore 102"/>
    <n v="196150"/>
  </r>
  <r>
    <n v="68"/>
    <s v="Mr. "/>
    <s v="Oommen Samuel"/>
    <n v="500"/>
    <d v="2012-11-11T00:00:00"/>
    <s v="R1458"/>
    <x v="0"/>
    <s v="Cash"/>
    <m/>
    <m/>
    <m/>
    <m/>
    <m/>
    <s v="Entered"/>
    <n v="192"/>
    <m/>
    <s v="#48, Prerana, 25th Main, 6th Cross, HSR Layout, Blr 102,  ,, "/>
    <n v="196650"/>
  </r>
  <r>
    <n v="69"/>
    <s v="Mr. "/>
    <s v="Nebu Mathew Philipose"/>
    <n v="2000"/>
    <d v="2012-11-11T00:00:00"/>
    <s v="R1459"/>
    <x v="0"/>
    <s v="Cash"/>
    <m/>
    <m/>
    <m/>
    <m/>
    <m/>
    <s v="Entered"/>
    <n v="197"/>
    <m/>
    <s v="1592, 25th B Main, 22nd Cross, HSR sector 2 ,Bangalore 34, "/>
    <n v="198650"/>
  </r>
  <r>
    <n v="70"/>
    <s v="Mr. "/>
    <s v="Romi T Samuel"/>
    <n v="4000"/>
    <d v="2012-11-11T00:00:00"/>
    <s v="R1460"/>
    <x v="0"/>
    <s v="Cash"/>
    <m/>
    <m/>
    <m/>
    <m/>
    <m/>
    <s v="Entered"/>
    <n v="129"/>
    <m/>
    <s v="16, 1st floor, 3rd Main, 2nd Cross,KR Nanjappa Layout, Koramangala ,Bangalore 95, "/>
    <n v="202650"/>
  </r>
  <r>
    <n v="71"/>
    <s v="Mr. "/>
    <s v="Chacko P T"/>
    <n v="2000"/>
    <d v="2012-11-11T00:00:00"/>
    <s v="R1461"/>
    <x v="0"/>
    <s v="Cash"/>
    <m/>
    <m/>
    <m/>
    <m/>
    <m/>
    <s v="Entered"/>
    <n v="63"/>
    <m/>
    <s v="E-201 Oceanus Triton, Bellandur.P.O, Off Sarjapur Road ,Bangalore 103, "/>
    <n v="204650"/>
  </r>
  <r>
    <n v="72"/>
    <s v="Mr. "/>
    <s v="Baby Kutty M"/>
    <n v="10000"/>
    <d v="2012-11-11T00:00:00"/>
    <s v="R1462"/>
    <x v="0"/>
    <s v="Cash"/>
    <m/>
    <m/>
    <m/>
    <m/>
    <m/>
    <s v="Entered"/>
    <s v="1C"/>
    <m/>
    <s v="N0.155 1st Block, J. S Extn', 1st Main ,Koramangala, Bangalore 34"/>
    <n v="214650"/>
  </r>
  <r>
    <n v="73"/>
    <s v="Mr. "/>
    <s v="Saiju George Mathew"/>
    <n v="500"/>
    <d v="2012-11-11T00:00:00"/>
    <s v="R1463"/>
    <x v="0"/>
    <s v="Cash"/>
    <m/>
    <m/>
    <m/>
    <m/>
    <m/>
    <s v="Entered"/>
    <n v="111"/>
    <m/>
    <s v="No 6Q, C Block , Aratukulam Lake View County, Manipal Country Rd ,Singasandra, Bangalore 68"/>
    <n v="215150"/>
  </r>
  <r>
    <n v="74"/>
    <s v="Mr. "/>
    <s v="Geevarghese"/>
    <n v="4000"/>
    <d v="2012-11-11T00:00:00"/>
    <s v="R1464"/>
    <x v="0"/>
    <s v="Cash"/>
    <m/>
    <m/>
    <m/>
    <m/>
    <m/>
    <s v="Entered"/>
    <n v="2"/>
    <m/>
    <s v="576, 12th main, 4th Block ,Koramangala, Bangalore"/>
    <n v="219150"/>
  </r>
  <r>
    <n v="75"/>
    <s v="Mr"/>
    <s v="Abraj Thomas Vettuparampil"/>
    <n v="5000"/>
    <d v="2012-11-11T00:00:00"/>
    <s v="R1465"/>
    <x v="0"/>
    <s v="Cash"/>
    <m/>
    <m/>
    <m/>
    <m/>
    <m/>
    <s v="Entered"/>
    <n v="144"/>
    <m/>
    <s v="Villa # 58, Concord Sylvan View, Near Gold Coin Club, Electronicity ,Ramasagara , Bangalore 100"/>
    <n v="224150"/>
  </r>
  <r>
    <n v="76"/>
    <s v="Mr. "/>
    <s v="Joji John"/>
    <n v="2000"/>
    <d v="2012-11-11T00:00:00"/>
    <s v="R1466"/>
    <x v="0"/>
    <s v="Cash"/>
    <m/>
    <m/>
    <m/>
    <m/>
    <m/>
    <s v="Entered"/>
    <n v="172"/>
    <m/>
    <s v="#46/1, 1st A Cross, Brindavan Layout, Padmanabanagar, Blr 61,  ,, "/>
    <n v="226150"/>
  </r>
  <r>
    <n v="77"/>
    <s v="Mr. "/>
    <s v="Reji V Mathew"/>
    <n v="4000"/>
    <d v="2012-11-11T00:00:00"/>
    <s v="R1467"/>
    <x v="0"/>
    <s v="Cash"/>
    <m/>
    <m/>
    <m/>
    <m/>
    <m/>
    <s v="Entered"/>
    <n v="72"/>
    <m/>
    <s v="No.B1-116, Sobha Aquamarine, Bellandur.P.O ,Outer Ring Road, Bangalore"/>
    <n v="230150"/>
  </r>
  <r>
    <n v="78"/>
    <s v="Mr. "/>
    <s v="Praveen Cherian"/>
    <n v="6000"/>
    <d v="2012-11-11T00:00:00"/>
    <s v="R1468"/>
    <x v="0"/>
    <s v="Cash"/>
    <m/>
    <m/>
    <m/>
    <m/>
    <m/>
    <s v="Entered"/>
    <n v="45"/>
    <m/>
    <s v="1-B, East Wood Town Ship, Harlur Road ,Off Sarjapur Rd, Bangalore 102"/>
    <n v="236150"/>
  </r>
  <r>
    <n v="79"/>
    <s v="Mr."/>
    <s v="John Thomas"/>
    <n v="3000"/>
    <d v="2012-11-11T00:00:00"/>
    <s v="R1469"/>
    <x v="0"/>
    <s v="Cash"/>
    <m/>
    <m/>
    <m/>
    <m/>
    <s v="Use same receipt as 31"/>
    <s v="Entered"/>
    <s v="125"/>
    <m/>
    <s v="104, Kalabhai Rai Apts, New No.23, New Thippasandra,  ,Bangalore 75, "/>
    <n v="239150"/>
  </r>
  <r>
    <n v="80"/>
    <s v="Mr. "/>
    <s v="Mathew C D"/>
    <n v="15000"/>
    <d v="2012-11-11T00:00:00"/>
    <s v="R1470"/>
    <x v="0"/>
    <s v="Cheque"/>
    <s v="SBI"/>
    <s v="849016"/>
    <m/>
    <m/>
    <m/>
    <s v="Entered"/>
    <n v="7"/>
    <m/>
    <s v="C-18  'Grace' , Kudremukh Colony, Koramangala ,Bangalore 34, "/>
    <n v="254150"/>
  </r>
  <r>
    <n v="81"/>
    <s v="Lt.Gen. "/>
    <s v="Ravi Eipe"/>
    <n v="1000"/>
    <d v="2012-11-11T00:00:00"/>
    <s v="R1471"/>
    <x v="0"/>
    <s v="Cheque"/>
    <s v="Union Bank"/>
    <s v="004546"/>
    <m/>
    <m/>
    <m/>
    <s v="Entered"/>
    <n v="18"/>
    <m/>
    <s v="No 532, 16th Main 3rd Block, Koramagala ,Bangalore 34, "/>
    <n v="255150"/>
  </r>
  <r>
    <n v="82"/>
    <s v="Mr. "/>
    <s v="Renny I John"/>
    <n v="5000"/>
    <d v="2012-11-11T00:00:00"/>
    <s v="R1472"/>
    <x v="0"/>
    <s v="Cheque"/>
    <s v="SIB"/>
    <s v="102136"/>
    <m/>
    <m/>
    <m/>
    <s v="Entered"/>
    <n v="19"/>
    <m/>
    <s v="8012 Shobha Daffodil, 24th Main, Somasundara Palaya ,HSR Layout, Bangalore 102"/>
    <n v="260150"/>
  </r>
  <r>
    <n v="83"/>
    <s v="Mr. "/>
    <s v="Cherian Thomas"/>
    <n v="10000"/>
    <d v="2012-11-11T00:00:00"/>
    <s v="R1473"/>
    <x v="0"/>
    <s v="Cheque"/>
    <s v="SBI"/>
    <s v="319873"/>
    <m/>
    <s v="Laly Cherian"/>
    <m/>
    <s v="Entered"/>
    <n v="152"/>
    <m/>
    <s v="#901, Concert, HM Symphony, Kasavanahalli,  ,Bangalore 35, "/>
    <n v="270150"/>
  </r>
  <r>
    <n v="84"/>
    <s v="Wg. Com. "/>
    <s v="Verghese K"/>
    <n v="5000"/>
    <d v="2012-11-11T00:00:00"/>
    <s v="R1474"/>
    <x v="0"/>
    <s v="Cheque"/>
    <s v="Bank of Baroda"/>
    <s v="000008"/>
    <m/>
    <s v="Mary Verghese"/>
    <m/>
    <s v="Entered"/>
    <n v="25"/>
    <m/>
    <s v="172, Ist Block 2nd Cross, Koramangala ,Bangalore 34, "/>
    <n v="275150"/>
  </r>
  <r>
    <n v="85"/>
    <s v="Mr. "/>
    <s v="Job Abraham"/>
    <n v="15000"/>
    <d v="2012-11-11T00:00:00"/>
    <s v="R1475"/>
    <x v="0"/>
    <s v="Cheque"/>
    <s v="Federal Bank"/>
    <s v="002174"/>
    <m/>
    <m/>
    <m/>
    <s v="Entered"/>
    <n v="191"/>
    <m/>
    <s v="No. 1286, Manaloor 11th Cross, 21st D Main, Sector-1 ,H S R, Bangalore 102"/>
    <n v="290150"/>
  </r>
  <r>
    <n v="86"/>
    <s v="Dr. "/>
    <s v="Samuel Paul"/>
    <n v="3000"/>
    <d v="2012-11-11T00:00:00"/>
    <s v="R1476"/>
    <x v="0"/>
    <s v="Cheque"/>
    <s v="State Bank of Mysore"/>
    <s v="457685"/>
    <m/>
    <m/>
    <m/>
    <s v="Entered"/>
    <n v="22"/>
    <m/>
    <s v="27, SBI Colony, 3rd Block ,Koramangala, Bangalore 34"/>
    <n v="293150"/>
  </r>
  <r>
    <n v="87"/>
    <s v="Mr. "/>
    <s v="Chacko V M"/>
    <n v="1000"/>
    <d v="2012-11-18T00:00:00"/>
    <s v="R1477"/>
    <x v="0"/>
    <s v="Cash"/>
    <m/>
    <m/>
    <m/>
    <m/>
    <m/>
    <s v="Entered"/>
    <n v="3"/>
    <m/>
    <s v="# 394/225/2, 1st Floor, Opp NDDB Layout, KR Garden ,Koramangala 8th Block, Bangalore 95"/>
    <n v="294150"/>
  </r>
  <r>
    <n v="88"/>
    <s v="Mr. "/>
    <s v="Abby Abraham"/>
    <n v="3000"/>
    <d v="2012-11-18T00:00:00"/>
    <s v="R1478"/>
    <x v="0"/>
    <s v="Cash"/>
    <m/>
    <m/>
    <m/>
    <m/>
    <m/>
    <s v="Entered"/>
    <n v="140"/>
    <m/>
    <s v="Sanister - 301, Elan Homes, Opp Total Mall , Sarjapur Road, Bangalore 35"/>
    <n v="297150"/>
  </r>
  <r>
    <n v="89"/>
    <e v="#N/A"/>
    <s v="Steffy Elizabeth Sunny"/>
    <n v="1000"/>
    <d v="2012-11-18T00:00:00"/>
    <s v="R1479"/>
    <x v="0"/>
    <s v="Cash"/>
    <m/>
    <m/>
    <m/>
    <m/>
    <m/>
    <s v="Entered"/>
    <e v="#N/A"/>
    <s v="Palasseril, Eolayaranmula P.O., Edayaranmula"/>
    <e v="#N/A"/>
    <n v="298150"/>
  </r>
  <r>
    <n v="90"/>
    <s v="Mr. "/>
    <s v="George P G (Bannargatta)"/>
    <n v="1500"/>
    <d v="2012-11-18T00:00:00"/>
    <s v="R1480"/>
    <x v="0"/>
    <s v="Cash"/>
    <m/>
    <m/>
    <m/>
    <m/>
    <m/>
    <s v="Entered"/>
    <n v="107"/>
    <m/>
    <s v=" Wise Residency, No. 4, Devarachikanahalli ,Bannargatta Road, Bangalore 76"/>
    <n v="299650"/>
  </r>
  <r>
    <n v="91"/>
    <s v="Mr. "/>
    <s v="Mathew T C"/>
    <n v="2000"/>
    <d v="2012-11-18T00:00:00"/>
    <s v="R1481"/>
    <x v="0"/>
    <s v="Cash"/>
    <m/>
    <m/>
    <m/>
    <m/>
    <m/>
    <s v="Entered"/>
    <n v="12"/>
    <m/>
    <s v="2-Thudil House, 9th Main 6th Cross, Friends Colony ,Koramangala, Bangalore"/>
    <n v="301650"/>
  </r>
  <r>
    <n v="92"/>
    <s v="Mr. "/>
    <s v="Binu Koshy"/>
    <n v="3000"/>
    <d v="2012-11-18T00:00:00"/>
    <s v="R1482"/>
    <x v="0"/>
    <s v="Cash"/>
    <m/>
    <m/>
    <m/>
    <m/>
    <m/>
    <s v="Entered"/>
    <n v="148"/>
    <m/>
    <s v="Flat# 6 C2, Om Shakthi Appts, Beside Sun City, , Sarjapur ORR ,Bangalore , "/>
    <n v="304650"/>
  </r>
  <r>
    <n v="93"/>
    <e v="#N/A"/>
    <s v="Shibu Varghese"/>
    <n v="2500"/>
    <d v="2012-11-18T00:00:00"/>
    <s v="R1483"/>
    <x v="0"/>
    <s v="Cash"/>
    <m/>
    <m/>
    <m/>
    <m/>
    <m/>
    <s v="Entered"/>
    <e v="#N/A"/>
    <s v="#84, 1st Block, Koramangala"/>
    <e v="#N/A"/>
    <n v="307150"/>
  </r>
  <r>
    <n v="94"/>
    <s v="Mr. "/>
    <s v="Joseph George"/>
    <n v="7000"/>
    <d v="2012-11-18T00:00:00"/>
    <s v="R1484"/>
    <x v="0"/>
    <s v="Cash"/>
    <m/>
    <m/>
    <m/>
    <m/>
    <m/>
    <s v="Entered"/>
    <n v="9"/>
    <m/>
    <s v="A-3, Kudremukh Colony, Koramangala ,Bangalore 34, "/>
    <n v="314150"/>
  </r>
  <r>
    <n v="95"/>
    <s v="Mr. "/>
    <s v="Philip Daniel"/>
    <n v="200"/>
    <d v="2012-11-18T00:00:00"/>
    <s v="R1485"/>
    <x v="0"/>
    <s v="Cash"/>
    <m/>
    <m/>
    <m/>
    <m/>
    <m/>
    <s v="Entered"/>
    <n v="102"/>
    <m/>
    <s v="T1, Peredy Maison, 5th Cross, 1st Main, Sundaram Shetty Nagar ,Vijaya Bank Layout, BG Road , Bangalore 76"/>
    <n v="314350"/>
  </r>
  <r>
    <n v="96"/>
    <s v="Ms. "/>
    <s v="Jyothi Ann Jacob"/>
    <n v="1000"/>
    <d v="2012-11-18T00:00:00"/>
    <s v="R1486"/>
    <x v="0"/>
    <s v="Cash"/>
    <m/>
    <m/>
    <m/>
    <m/>
    <m/>
    <s v="Entered"/>
    <n v="176"/>
    <m/>
    <s v="#73, Syed Aslan Regency, 29th Main, 22nd Cross, BTM 2nd Stage ,Bangalore, "/>
    <n v="315350"/>
  </r>
  <r>
    <n v="97"/>
    <s v="Dr. "/>
    <s v="Sosamma Varghese"/>
    <n v="12000"/>
    <d v="2012-11-18T00:00:00"/>
    <s v="R1487"/>
    <x v="0"/>
    <s v="Cheque"/>
    <s v="SBI"/>
    <s v="486756"/>
    <m/>
    <m/>
    <m/>
    <s v="Entered"/>
    <n v="23"/>
    <m/>
    <s v="No. 1205, Oakwood J block, 8th Main ,Koramangala, Bangalore 34"/>
    <n v="327350"/>
  </r>
  <r>
    <n v="98"/>
    <s v="Mr. "/>
    <s v="Aby Abraham"/>
    <n v="5000"/>
    <d v="2012-11-25T00:00:00"/>
    <s v="R1489"/>
    <x v="0"/>
    <s v="Cash"/>
    <m/>
    <m/>
    <m/>
    <m/>
    <m/>
    <s v="Entered"/>
    <n v="36"/>
    <m/>
    <s v="526/2, 14th D Cross, Ejipura ,Viveknagar, Bangalore"/>
    <n v="332350"/>
  </r>
  <r>
    <n v="99"/>
    <s v="Mr. "/>
    <s v="Benjan Tom Oommen"/>
    <n v="2000"/>
    <d v="2012-11-25T00:00:00"/>
    <s v="R1490"/>
    <x v="0"/>
    <s v="Cash"/>
    <m/>
    <m/>
    <m/>
    <m/>
    <m/>
    <s v="Entered"/>
    <n v="137"/>
    <m/>
    <s v="# 1602, 2nd Floor,, 22nd Cross, 25th B Main ,HSR Sector 2, Bangalore 34"/>
    <n v="334350"/>
  </r>
  <r>
    <n v="100"/>
    <s v="Mr. "/>
    <s v="Minoo Varghese"/>
    <n v="7500"/>
    <d v="2012-11-25T00:00:00"/>
    <s v="R1491"/>
    <x v="0"/>
    <s v="Cheque"/>
    <s v="Axis Bank"/>
    <s v="486056"/>
    <m/>
    <s v="Neena Varghese"/>
    <s v="Minoo Varghese?"/>
    <s v="Entered"/>
    <n v="14"/>
    <s v="C-6-301, PWO, Sector 43, Gurgaon, Haryana"/>
    <s v="Flat-202, Golden Nest, Appt-29 ,Adugudi, Bangalore 30"/>
    <n v="341850"/>
  </r>
  <r>
    <n v="101"/>
    <s v="Mr. "/>
    <s v="Ninan K C"/>
    <n v="1500"/>
    <d v="2012-12-03T00:00:00"/>
    <s v="R1494"/>
    <x v="0"/>
    <s v="Cheque"/>
    <s v="Axis Bank"/>
    <s v="084093"/>
    <m/>
    <m/>
    <s v="Cash 400 + rest of cheque 1100.  cheque value 3500"/>
    <s v="Entered"/>
    <n v="195"/>
    <m/>
    <s v="24/43/2, Vitta Sandra, Near Vybgyor School, Ecity  ,, Bangalore 100"/>
    <n v="343350"/>
  </r>
  <r>
    <n v="102"/>
    <s v="Mr. "/>
    <s v="Santhosh Thomas Abraham"/>
    <n v="2000"/>
    <d v="2012-12-02T00:00:00"/>
    <s v="R1648"/>
    <x v="0"/>
    <s v="Cash"/>
    <m/>
    <m/>
    <m/>
    <m/>
    <m/>
    <s v="Entered"/>
    <n v="145"/>
    <m/>
    <s v="601, 1C, Block Senswe, Elan Homes, Sarjapur Road ,bangalore 35, "/>
    <n v="345350"/>
  </r>
  <r>
    <n v="103"/>
    <s v="Mr. "/>
    <s v="Jacob S Joshua"/>
    <n v="5000"/>
    <d v="2012-12-02T00:00:00"/>
    <s v="R1495"/>
    <x v="0"/>
    <s v="Cash"/>
    <m/>
    <m/>
    <m/>
    <m/>
    <m/>
    <s v="Entered"/>
    <n v="173"/>
    <m/>
    <s v="# 12/1, Sumukha, , 4th D Cross, Marithi Nagar, Blr 68,  ,, "/>
    <n v="350350"/>
  </r>
  <r>
    <n v="104"/>
    <s v="Mr. "/>
    <s v="Mathew K V"/>
    <n v="5000"/>
    <d v="2012-12-02T00:00:00"/>
    <s v="R1496"/>
    <x v="0"/>
    <s v="Cash"/>
    <m/>
    <m/>
    <m/>
    <m/>
    <m/>
    <s v="Entered"/>
    <n v="42"/>
    <m/>
    <s v="1C Shalom Manor, Country Side, Carmelaram. P. O ,Sarjapur Road, Bangalore 35"/>
    <n v="355350"/>
  </r>
  <r>
    <n v="105"/>
    <s v="Mr. "/>
    <s v="Jiji Thomas"/>
    <n v="5000"/>
    <d v="2012-12-02T00:00:00"/>
    <s v="R1497"/>
    <x v="0"/>
    <s v="Cash"/>
    <m/>
    <m/>
    <m/>
    <m/>
    <m/>
    <s v="Entered"/>
    <n v="6"/>
    <m/>
    <s v="No.32  Swamy Enclave, 1st Main  1st Block, Jakkasandra ,Koramangala, Bangalore"/>
    <n v="360350"/>
  </r>
  <r>
    <n v="106"/>
    <e v="#N/A"/>
    <s v="Beena"/>
    <n v="500"/>
    <d v="2012-12-02T00:00:00"/>
    <s v="R1498"/>
    <x v="0"/>
    <s v="Cash"/>
    <m/>
    <m/>
    <m/>
    <m/>
    <m/>
    <s v="Entered"/>
    <e v="#N/A"/>
    <s v="13th Cross, Venkatapura"/>
    <e v="#N/A"/>
    <n v="360850"/>
  </r>
  <r>
    <n v="107"/>
    <e v="#N/A"/>
    <s v="Unknown"/>
    <n v="100"/>
    <d v="2012-12-02T00:00:00"/>
    <s v="R1499"/>
    <x v="0"/>
    <s v="Cash"/>
    <m/>
    <m/>
    <m/>
    <m/>
    <m/>
    <s v="Entered"/>
    <e v="#N/A"/>
    <m/>
    <e v="#N/A"/>
    <n v="360950"/>
  </r>
  <r>
    <n v="108"/>
    <s v="Mr. "/>
    <s v="Vinod Jacob Mathew"/>
    <n v="5000"/>
    <d v="2012-12-02T00:00:00"/>
    <s v="R1500"/>
    <x v="0"/>
    <s v="Cheque"/>
    <s v="ICICI Bank"/>
    <s v="985908"/>
    <m/>
    <s v="Dhanya Ross Mathew"/>
    <m/>
    <s v="Entered"/>
    <n v="108"/>
    <m/>
    <s v="No. 305 Amaracanopy, 6th crs, N.S Palaya ,BTM 2nd stage, Bangalore"/>
    <n v="365950"/>
  </r>
  <r>
    <n v="109"/>
    <s v="Mr. "/>
    <s v="Thomas K Kovoor"/>
    <n v="10000"/>
    <d v="2012-12-02T00:00:00"/>
    <s v="R1551"/>
    <x v="0"/>
    <s v="Cheque"/>
    <s v="RBS"/>
    <s v="726213"/>
    <m/>
    <m/>
    <m/>
    <s v="Entered"/>
    <n v="153"/>
    <m/>
    <s v="#208, Accord, HM Symphony, Kasavanahalli,  ,Bangalore 35, "/>
    <n v="375950"/>
  </r>
  <r>
    <n v="111"/>
    <e v="#N/A"/>
    <s v="Unknown"/>
    <n v="500"/>
    <d v="2012-12-09T00:00:00"/>
    <s v="R1552"/>
    <x v="0"/>
    <s v="Cash"/>
    <m/>
    <m/>
    <m/>
    <m/>
    <m/>
    <s v="Entered"/>
    <e v="#N/A"/>
    <m/>
    <e v="#N/A"/>
    <n v="376450"/>
  </r>
  <r>
    <n v="110"/>
    <s v="Mr. "/>
    <s v="Roji Varghese"/>
    <n v="5000"/>
    <d v="2012-12-09T00:00:00"/>
    <s v="R1553"/>
    <x v="0"/>
    <s v="Cash"/>
    <m/>
    <m/>
    <m/>
    <m/>
    <m/>
    <s v="Entered"/>
    <n v="20"/>
    <m/>
    <s v="26/11, 7th 'A' Cross, Jakkasandra ,1st Block, Bangalore 34"/>
    <n v="381450"/>
  </r>
  <r>
    <n v="112"/>
    <s v="Mrs. "/>
    <s v="Omana Abraham"/>
    <n v="5000"/>
    <d v="2012-12-16T00:00:00"/>
    <s v="R1554"/>
    <x v="0"/>
    <s v="Cash"/>
    <m/>
    <m/>
    <m/>
    <m/>
    <m/>
    <s v="Entered"/>
    <n v="1"/>
    <m/>
    <s v="No 496, 17 th Main, 6th Block ,Koramangala, Bangalore 95"/>
    <n v="386450"/>
  </r>
  <r>
    <n v="113"/>
    <s v="Mrs. "/>
    <s v="Elizabeth Samuel"/>
    <n v="1000"/>
    <d v="2012-12-16T00:00:00"/>
    <s v="R1555"/>
    <x v="0"/>
    <s v="Cash"/>
    <m/>
    <m/>
    <m/>
    <m/>
    <m/>
    <s v="Entered"/>
    <n v="37"/>
    <m/>
    <s v="No.101-E Block, Reheja Residency, 3rd Block ,Koramangala, Bangalore"/>
    <n v="387450"/>
  </r>
  <r>
    <n v="114"/>
    <s v="Mr. "/>
    <s v="George Samuel"/>
    <n v="2000"/>
    <d v="2012-12-16T00:00:00"/>
    <s v="R1556"/>
    <x v="0"/>
    <s v="Cash"/>
    <m/>
    <m/>
    <m/>
    <m/>
    <m/>
    <s v="Entered"/>
    <n v="4"/>
    <m/>
    <s v="C-201 Mantri Classic, 1st Main, 4th Block, ST Bed ,Koramangala, Bangalore"/>
    <n v="389450"/>
  </r>
  <r>
    <n v="115"/>
    <e v="#N/A"/>
    <s v="Unknown"/>
    <n v="500"/>
    <d v="2012-12-16T00:00:00"/>
    <s v="R1557"/>
    <x v="0"/>
    <s v="Cash"/>
    <m/>
    <m/>
    <m/>
    <m/>
    <m/>
    <s v="Entered"/>
    <e v="#N/A"/>
    <m/>
    <e v="#N/A"/>
    <n v="389950"/>
  </r>
  <r>
    <n v="116"/>
    <s v="Mr. "/>
    <s v="Arun P Varghese"/>
    <n v="4000"/>
    <d v="2012-12-16T00:00:00"/>
    <s v="R1558"/>
    <x v="0"/>
    <s v="Cheque"/>
    <s v="ICICI Bank"/>
    <s v="598603"/>
    <m/>
    <m/>
    <m/>
    <s v="Entered"/>
    <s v="1B"/>
    <m/>
    <s v="103- A Block, DSR Orchids, C.R Layout ,Koramangala, Bangalore"/>
    <n v="393950"/>
  </r>
  <r>
    <n v="117"/>
    <s v="Mr. "/>
    <s v="Jacob Oommen"/>
    <n v="8000"/>
    <d v="2012-12-16T00:00:00"/>
    <s v="R1559"/>
    <x v="0"/>
    <s v="Cheque"/>
    <s v="HDFC Bank"/>
    <s v="458024"/>
    <m/>
    <m/>
    <m/>
    <s v="Entered"/>
    <n v="65"/>
    <m/>
    <s v="A 503, Purva Sunshine, Kaikondrahalli, Sarjapur Rd ,Carmelram PO, Bangalore 35"/>
    <n v="401950"/>
  </r>
  <r>
    <n v="118"/>
    <s v="Mr. "/>
    <s v="Arun Eapen Mathew"/>
    <n v="3000"/>
    <d v="2012-12-30T00:00:00"/>
    <s v="R1560"/>
    <x v="0"/>
    <s v="Cash"/>
    <m/>
    <m/>
    <m/>
    <m/>
    <m/>
    <s v="Entered"/>
    <n v="142"/>
    <m/>
    <s v="# 48, 1st Floor, 2nd Cross, TP Venugopala Layout, RT Nagar ,Bangalore 32, "/>
    <n v="404950"/>
  </r>
  <r>
    <n v="119"/>
    <s v="Mr. "/>
    <s v="Ajith Isaac"/>
    <n v="40000"/>
    <d v="2013-01-06T00:00:00"/>
    <s v="R1561"/>
    <x v="0"/>
    <s v="Cheque"/>
    <s v="HSBC"/>
    <s v="614320"/>
    <m/>
    <m/>
    <m/>
    <s v="Entered"/>
    <s v="1A"/>
    <m/>
    <s v="N0.242, Ambat, 3rd Main, , 1st-Block, 4th Cross ,Koramangala, Bangalore 34"/>
    <n v="444950"/>
  </r>
  <r>
    <n v="120"/>
    <s v="Mr. "/>
    <s v="Sijo Samuel"/>
    <n v="500"/>
    <d v="2013-01-06T00:00:00"/>
    <s v="R1562"/>
    <x v="1"/>
    <s v="Cash"/>
    <m/>
    <m/>
    <m/>
    <m/>
    <m/>
    <s v="Entered"/>
    <n v="119"/>
    <m/>
    <s v="Antony House, No. 39/40, Church Street, Old Madiwala,  ,Bangalore 68, "/>
    <n v="500"/>
  </r>
  <r>
    <n v="121"/>
    <s v="Mr. "/>
    <s v="Baby Kutty M"/>
    <n v="1000"/>
    <d v="2013-01-06T00:00:00"/>
    <s v="R1563"/>
    <x v="1"/>
    <s v="Cash"/>
    <m/>
    <m/>
    <m/>
    <m/>
    <m/>
    <s v="Entered"/>
    <s v="1C"/>
    <m/>
    <s v="N0.155 1st Block, J. S Extn', 1st Main ,Koramangala, Bangalore 34"/>
    <n v="1500"/>
  </r>
  <r>
    <n v="122"/>
    <s v="Mr. "/>
    <s v="Mathew Joseph"/>
    <n v="500"/>
    <d v="2013-01-06T00:00:00"/>
    <s v="R1564"/>
    <x v="1"/>
    <s v="Cash"/>
    <m/>
    <m/>
    <m/>
    <m/>
    <m/>
    <s v="Entered"/>
    <n v="147"/>
    <m/>
    <s v="1C, Shalom Manor, Countryside layout, Sarapur Road ,Bangalore 35, "/>
    <n v="2000"/>
  </r>
  <r>
    <n v="123"/>
    <s v="Mr. "/>
    <s v="Mathew Easow Jacob"/>
    <n v="2000"/>
    <d v="2013-01-06T00:00:00"/>
    <s v="R1565"/>
    <x v="1"/>
    <s v="Cash"/>
    <m/>
    <m/>
    <m/>
    <m/>
    <m/>
    <s v="Entered"/>
    <n v="56"/>
    <m/>
    <s v="No. 1885 1st floor, 25th A cross, 2nd sector ,HSR, Bangalore 34"/>
    <n v="4000"/>
  </r>
  <r>
    <n v="124"/>
    <s v="Mr. "/>
    <s v="Jacob John"/>
    <n v="1000"/>
    <d v="2013-01-06T00:00:00"/>
    <s v="R1566"/>
    <x v="1"/>
    <s v="Cash"/>
    <m/>
    <m/>
    <m/>
    <m/>
    <m/>
    <s v="Entered"/>
    <n v="185"/>
    <m/>
    <s v="Flat# 2266, Golden Heritage Apt, 3rd Cross, NGR Layout, Rupena Agrahara,  ,Madivala, Blr 68"/>
    <n v="5000"/>
  </r>
  <r>
    <n v="125"/>
    <s v="Mr. "/>
    <s v="John C T"/>
    <n v="500"/>
    <d v="2013-01-06T00:00:00"/>
    <s v="R1567"/>
    <x v="1"/>
    <s v="Cash"/>
    <m/>
    <m/>
    <m/>
    <m/>
    <m/>
    <s v="Entered"/>
    <n v="33"/>
    <m/>
    <s v="T-4 Palm Grove Apts:, 10/1 1st Main 4th Cross, 6th Blk ,Koramangala, Bangalore"/>
    <n v="5500"/>
  </r>
  <r>
    <n v="126"/>
    <s v="Mr. "/>
    <s v="Philip Mathew"/>
    <n v="500"/>
    <d v="2013-01-06T00:00:00"/>
    <s v="R1568"/>
    <x v="1"/>
    <s v="Cash"/>
    <m/>
    <m/>
    <m/>
    <m/>
    <m/>
    <s v="Entered"/>
    <n v="17"/>
    <m/>
    <s v="#128, Bansankari Nilaya, Koramagala, Bangalore 95 ,, "/>
    <n v="6000"/>
  </r>
  <r>
    <n v="127"/>
    <s v="Mr. "/>
    <s v="Abraham Varghese K"/>
    <n v="500"/>
    <d v="2013-01-06T00:00:00"/>
    <s v="R1569"/>
    <x v="1"/>
    <s v="Cash"/>
    <m/>
    <m/>
    <m/>
    <m/>
    <m/>
    <s v="Entered"/>
    <n v="82"/>
    <m/>
    <s v="No. D 1002, D Block, 10th Floor, NCC Maple Heights, Mahadevapuram PO ,, Bangalore 16"/>
    <n v="6500"/>
  </r>
  <r>
    <n v="128"/>
    <s v="Mr"/>
    <s v="Bliss M Papan"/>
    <n v="2500"/>
    <d v="2013-01-06T00:00:00"/>
    <s v="R1570"/>
    <x v="1"/>
    <s v="Cash"/>
    <m/>
    <m/>
    <m/>
    <m/>
    <m/>
    <s v="Entered"/>
    <n v="162"/>
    <m/>
    <s v="781, Ambli, 28th Main, 2nd Stage, 1st Phase, BTM Layout ,Bangalore 76, "/>
    <n v="9000"/>
  </r>
  <r>
    <n v="129"/>
    <e v="#N/A"/>
    <s v="Mathew V O"/>
    <n v="500"/>
    <d v="2013-01-06T00:00:00"/>
    <s v="R1571"/>
    <x v="1"/>
    <s v="Cash"/>
    <m/>
    <m/>
    <m/>
    <m/>
    <m/>
    <s v="Entered"/>
    <e v="#N/A"/>
    <m/>
    <e v="#N/A"/>
    <n v="9500"/>
  </r>
  <r>
    <n v="130"/>
    <s v="Mr. "/>
    <s v="Thomas Scariah"/>
    <n v="2000"/>
    <d v="2013-01-06T00:00:00"/>
    <s v="R1572"/>
    <x v="1"/>
    <s v="Cash"/>
    <m/>
    <m/>
    <m/>
    <m/>
    <m/>
    <s v="Entered"/>
    <n v="131"/>
    <m/>
    <s v="407, 1st floor, 5th Main, 5th Avenue, Teachers Colony ,Bangalore 34, "/>
    <n v="11500"/>
  </r>
  <r>
    <n v="131"/>
    <s v="Mr. "/>
    <s v="Siju K Jacob"/>
    <n v="500"/>
    <d v="2013-01-06T00:00:00"/>
    <s v="R1573"/>
    <x v="1"/>
    <s v="Cash"/>
    <m/>
    <m/>
    <m/>
    <m/>
    <m/>
    <s v="Entered"/>
    <n v="194"/>
    <m/>
    <s v="#209, 7th Cross, 27th Main, HSR 1st Sector ,, Bangalore 34"/>
    <n v="12000"/>
  </r>
  <r>
    <n v="132"/>
    <s v="Mr. "/>
    <s v="Geogy Mathew"/>
    <n v="1000"/>
    <d v="2013-01-06T00:00:00"/>
    <s v="R1574"/>
    <x v="1"/>
    <s v="Cash"/>
    <m/>
    <m/>
    <m/>
    <m/>
    <m/>
    <s v="Entered"/>
    <n v="81"/>
    <m/>
    <s v="Y4 101, Greenwood Regency, Carmelaram. P.O ,Off Sarjapur Rd, Bangalore"/>
    <n v="13000"/>
  </r>
  <r>
    <n v="133"/>
    <s v="Mr. "/>
    <s v="Abraham M A"/>
    <n v="500"/>
    <d v="2013-01-06T00:00:00"/>
    <s v="R1575"/>
    <x v="1"/>
    <s v="Cash"/>
    <m/>
    <m/>
    <m/>
    <m/>
    <m/>
    <s v="Entered"/>
    <n v="39"/>
    <m/>
    <s v="No.682 Manaloor, 12th cross, Sector-1 ,H S R, Bangalore 102"/>
    <n v="13500"/>
  </r>
  <r>
    <n v="134"/>
    <s v="Mr. "/>
    <s v="Tony M John"/>
    <n v="1000"/>
    <d v="2013-01-06T00:00:00"/>
    <s v="R1576"/>
    <x v="1"/>
    <s v="Cash"/>
    <m/>
    <m/>
    <m/>
    <m/>
    <m/>
    <s v="Entered"/>
    <n v="76"/>
    <m/>
    <s v="No. 117, Trinity Meadows, Bellandur. P. O ,Off Sarjapur Road, Bangalore 103"/>
    <n v="14500"/>
  </r>
  <r>
    <n v="135"/>
    <e v="#N/A"/>
    <s v="Unknown"/>
    <n v="500"/>
    <d v="2013-01-06T00:00:00"/>
    <s v="R1577"/>
    <x v="1"/>
    <s v="Cash"/>
    <m/>
    <m/>
    <m/>
    <m/>
    <m/>
    <s v="Entered"/>
    <e v="#N/A"/>
    <m/>
    <e v="#N/A"/>
    <n v="15000"/>
  </r>
  <r>
    <n v="136"/>
    <s v="Mr. "/>
    <s v="Shaji Idiculla Varghese"/>
    <n v="1000"/>
    <d v="2013-01-06T00:00:00"/>
    <s v="R1578"/>
    <x v="1"/>
    <s v="Cash"/>
    <m/>
    <m/>
    <m/>
    <m/>
    <m/>
    <s v="Entered"/>
    <n v="32"/>
    <m/>
    <s v="# 262, 3rd Cross, , Jakkasandra, Kormangala ,Bangalore 34, "/>
    <n v="16000"/>
  </r>
  <r>
    <n v="137"/>
    <s v="Mr. "/>
    <s v="Binu Mathew"/>
    <n v="500"/>
    <d v="2013-01-06T00:00:00"/>
    <s v="R1579"/>
    <x v="1"/>
    <s v="Cash"/>
    <m/>
    <m/>
    <m/>
    <m/>
    <m/>
    <s v="Entered"/>
    <n v="34"/>
    <m/>
    <s v="No.14(470/353) 2nd Flr, St.Anne's Anthony Lourdu Mary Villa, V S R Layout 8th Blk ,Koramangala, Bangalore 95"/>
    <n v="16500"/>
  </r>
  <r>
    <n v="138"/>
    <s v="Mr. "/>
    <s v="Majush K Philip"/>
    <n v="3000"/>
    <d v="2013-01-06T00:00:00"/>
    <s v="R1580"/>
    <x v="1"/>
    <s v="Cash"/>
    <m/>
    <m/>
    <m/>
    <m/>
    <m/>
    <s v="Entered"/>
    <n v="165"/>
    <m/>
    <s v="L205, Purva Panorama, Kalena Agrahara, Begur Hobli ,BG Road , Bangalore 76"/>
    <n v="19500"/>
  </r>
  <r>
    <n v="139"/>
    <s v="Mr. "/>
    <s v="Mathew K V"/>
    <n v="2000"/>
    <d v="2013-01-06T00:00:00"/>
    <s v="R1581"/>
    <x v="1"/>
    <s v="Cash"/>
    <m/>
    <m/>
    <m/>
    <m/>
    <m/>
    <s v="Entered"/>
    <n v="42"/>
    <m/>
    <s v="1C Shalom Manor, Country Side, Carmelaram. P. O ,Sarjapur Road, Bangalore 35"/>
    <n v="21500"/>
  </r>
  <r>
    <n v="140"/>
    <s v="Mr. "/>
    <s v="Jacob S Joshua"/>
    <n v="1500"/>
    <d v="2013-01-06T00:00:00"/>
    <s v="R1582"/>
    <x v="1"/>
    <s v="Cash"/>
    <m/>
    <m/>
    <m/>
    <m/>
    <m/>
    <s v="Entered"/>
    <n v="173"/>
    <m/>
    <s v="# 12/1, Sumukha, , 4th D Cross, Marithi Nagar, Blr 68,  ,, "/>
    <n v="23000"/>
  </r>
  <r>
    <n v="141"/>
    <s v="Dr. "/>
    <s v="Samuel Paul"/>
    <n v="3000"/>
    <d v="2013-01-06T00:00:00"/>
    <s v="R1583"/>
    <x v="1"/>
    <s v="Cheque"/>
    <s v="ICICI"/>
    <s v="035630"/>
    <m/>
    <m/>
    <m/>
    <s v="Entered"/>
    <n v="22"/>
    <m/>
    <s v="27, SBI Colony, 3rd Block ,Koramangala, Bangalore 34"/>
    <n v="26000"/>
  </r>
  <r>
    <n v="142"/>
    <s v="Mr. "/>
    <s v="George Chacko"/>
    <n v="5000"/>
    <d v="2013-01-06T00:00:00"/>
    <s v="R1584"/>
    <x v="1"/>
    <s v="Cheque"/>
    <s v="Citi"/>
    <s v="970530"/>
    <m/>
    <m/>
    <m/>
    <s v="Entered"/>
    <n v="79"/>
    <m/>
    <s v="No.5, The Country Side, Carmelaram.P.O ,Sarjapur Road, Bangalore 35"/>
    <n v="31000"/>
  </r>
  <r>
    <n v="143"/>
    <s v="Mr. "/>
    <s v="Kurien K Eapen"/>
    <n v="4500"/>
    <d v="2013-01-06T00:00:00"/>
    <s v="R1585"/>
    <x v="1"/>
    <s v="Cheque"/>
    <s v="Citi"/>
    <s v="059017"/>
    <m/>
    <m/>
    <m/>
    <s v="Entered"/>
    <n v="41"/>
    <m/>
    <s v="No.47, Rain bow Drive, Carmelaram.P.O ,Sarjapur Road, Bangalore 35"/>
    <n v="35500"/>
  </r>
  <r>
    <n v="144"/>
    <s v="Mr. "/>
    <s v="Renny I John"/>
    <n v="5000"/>
    <d v="2013-01-06T00:00:00"/>
    <s v="R1586"/>
    <x v="1"/>
    <s v="Cheque"/>
    <s v="SIB"/>
    <s v="102140"/>
    <m/>
    <m/>
    <m/>
    <s v="Entered"/>
    <n v="19"/>
    <m/>
    <s v="8012 Shobha Daffodil, 24th Main, Somasundara Palaya ,HSR Layout, Bangalore 102"/>
    <n v="40500"/>
  </r>
  <r>
    <n v="145"/>
    <s v="Mr. "/>
    <s v="Ajith Isaac"/>
    <n v="30000"/>
    <d v="2013-01-06T00:00:00"/>
    <s v="R1587"/>
    <x v="1"/>
    <s v="Cheque"/>
    <s v="HSBC"/>
    <s v="002081"/>
    <m/>
    <m/>
    <m/>
    <s v="Entered"/>
    <s v="1A"/>
    <m/>
    <s v="N0.242, Ambat, 3rd Main, , 1st-Block, 4th Cross ,Koramangala, Bangalore 34"/>
    <n v="70500"/>
  </r>
  <r>
    <n v="146"/>
    <s v="Mr. "/>
    <s v="Mathew C D"/>
    <n v="6000"/>
    <d v="2013-01-06T00:00:00"/>
    <s v="R1588"/>
    <x v="1"/>
    <s v="Cheque"/>
    <s v="SIB"/>
    <s v="148687"/>
    <m/>
    <m/>
    <m/>
    <s v="Entered"/>
    <n v="7"/>
    <m/>
    <s v="C-18  'Grace' , Kudremukh Colony, Koramangala ,Bangalore 34, "/>
    <n v="76500"/>
  </r>
  <r>
    <n v="147"/>
    <s v="Mr. "/>
    <s v="Sinu Ommen"/>
    <n v="3000"/>
    <d v="2013-01-13T00:00:00"/>
    <s v="R1589"/>
    <x v="1"/>
    <s v="Cash"/>
    <m/>
    <m/>
    <m/>
    <m/>
    <m/>
    <s v="Entered"/>
    <n v="187"/>
    <s v="#6, Vijay Krishna Mansion, Electronics City - 560100"/>
    <s v="Flat #6, Vijay Krishna Mansion, , Celebrity Paradise Layout, 8th cross, Ecity ,  ,, Blr 100"/>
    <n v="79500"/>
  </r>
  <r>
    <n v="148"/>
    <s v="Mr. "/>
    <s v="Mathew Varghese"/>
    <n v="3000"/>
    <d v="2013-01-13T00:00:00"/>
    <s v="R1590"/>
    <x v="1"/>
    <s v="Cash"/>
    <m/>
    <m/>
    <m/>
    <m/>
    <m/>
    <s v="Entered"/>
    <n v="90"/>
    <m/>
    <s v="No. 87, ShalomNear AECS Layout, Kalanikethan Rd ,Kudalu, Bangalore"/>
    <n v="82500"/>
  </r>
  <r>
    <n v="149"/>
    <s v="Mr. "/>
    <s v="Biju John"/>
    <n v="1000"/>
    <d v="2013-01-13T00:00:00"/>
    <s v="R1591"/>
    <x v="1"/>
    <s v="Cash"/>
    <m/>
    <m/>
    <m/>
    <m/>
    <m/>
    <s v="Entered"/>
    <n v="166"/>
    <m/>
    <s v="284, 10th Cross, 1st Block, Vishwapriya Nagar, Bejaur,  ,Bangalore 68, "/>
    <n v="83500"/>
  </r>
  <r>
    <n v="150"/>
    <s v="Rev."/>
    <s v="Johnson K M"/>
    <n v="500"/>
    <d v="2013-01-13T00:00:00"/>
    <s v="R1592"/>
    <x v="1"/>
    <s v="Cash"/>
    <m/>
    <m/>
    <m/>
    <m/>
    <m/>
    <s v="Entered"/>
    <n v="500"/>
    <m/>
    <s v="B104, Oceanus Triton, Belandur P.O.Off Sarjapur Road ,Bangalore 103, "/>
    <n v="84000"/>
  </r>
  <r>
    <n v="151"/>
    <s v="Mr. "/>
    <s v="Sunil Thomas"/>
    <n v="500"/>
    <d v="2013-01-13T00:00:00"/>
    <s v="R1593"/>
    <x v="1"/>
    <s v="Cash"/>
    <m/>
    <m/>
    <m/>
    <m/>
    <m/>
    <s v="Entered"/>
    <n v="179"/>
    <m/>
    <s v="Kunnampilly House, 85/1, , 4th A Cross, Maruthi Nagar, Madivala ,, Bangalore 68"/>
    <n v="84500"/>
  </r>
  <r>
    <n v="152"/>
    <s v="Mr. "/>
    <s v="Roy Eapen Sam"/>
    <n v="2000"/>
    <d v="2013-01-13T00:00:00"/>
    <s v="R1594"/>
    <x v="1"/>
    <s v="Cash"/>
    <m/>
    <m/>
    <m/>
    <m/>
    <m/>
    <s v="Entered"/>
    <n v="46"/>
    <s v="008, Balaji Elite, HSR 2nd Sector, Bangalore 102"/>
    <s v="T4, Misty Medows, HSR 2nd Sector,  ,, Bangalore 102"/>
    <n v="86500"/>
  </r>
  <r>
    <n v="153"/>
    <s v="Mr. "/>
    <s v="Shiju George Abraham"/>
    <n v="3000"/>
    <d v="2013-01-13T00:00:00"/>
    <s v="R1595"/>
    <x v="1"/>
    <s v="Cash"/>
    <m/>
    <m/>
    <m/>
    <m/>
    <m/>
    <s v="Entered"/>
    <n v="174"/>
    <m/>
    <s v="D2-1005, , L&amp;T South City, Mico Layout, , Banerghta Road ,, Blr 76"/>
    <n v="89500"/>
  </r>
  <r>
    <n v="154"/>
    <s v="Mr. "/>
    <s v="Chacko K V"/>
    <n v="1000"/>
    <d v="2013-01-13T00:00:00"/>
    <s v="R1596"/>
    <x v="1"/>
    <s v="Cash"/>
    <m/>
    <m/>
    <m/>
    <m/>
    <m/>
    <s v="Entered"/>
    <s v="1E"/>
    <m/>
    <s v="94 3rd cross, 8th A Main,  ,Koramangala, Bangalore 34"/>
    <n v="90500"/>
  </r>
  <r>
    <n v="155"/>
    <s v="Mr. "/>
    <s v="George P G (Bannargatta)"/>
    <n v="1500"/>
    <d v="2013-01-13T00:00:00"/>
    <s v="R1597"/>
    <x v="1"/>
    <s v="Cash"/>
    <m/>
    <m/>
    <m/>
    <m/>
    <m/>
    <s v="Entered"/>
    <n v="107"/>
    <m/>
    <s v=" Wise Residency, No. 4, Devarachikanahalli ,Bannargatta Road, Bangalore 76"/>
    <n v="92000"/>
  </r>
  <r>
    <n v="156"/>
    <s v="Mr. "/>
    <s v="Mathew T C"/>
    <n v="1000"/>
    <d v="2013-01-13T00:00:00"/>
    <s v="R1598"/>
    <x v="1"/>
    <s v="Cash"/>
    <m/>
    <m/>
    <m/>
    <m/>
    <m/>
    <s v="Entered"/>
    <n v="12"/>
    <m/>
    <s v="2-Thudil House, 9th Main 6th Cross, Friends Colony ,Koramangala, Bangalore"/>
    <n v="93000"/>
  </r>
  <r>
    <n v="157"/>
    <s v="Mr. "/>
    <s v="Vijay Varghese George"/>
    <n v="1000"/>
    <d v="2013-01-13T00:00:00"/>
    <s v="R1599"/>
    <x v="1"/>
    <s v="Cash"/>
    <m/>
    <m/>
    <m/>
    <m/>
    <m/>
    <s v="Entered"/>
    <n v="57"/>
    <m/>
    <s v="No 735, 2nd Floor, 11th B Cross,, 25th Main ,HSR Layout, Bangalore 102"/>
    <n v="94000"/>
  </r>
  <r>
    <n v="158"/>
    <s v="Mr. "/>
    <s v="Varghese John"/>
    <n v="500"/>
    <d v="2013-01-13T00:00:00"/>
    <s v="R1600"/>
    <x v="1"/>
    <s v="Cash"/>
    <m/>
    <m/>
    <m/>
    <m/>
    <m/>
    <s v="Entered"/>
    <n v="52"/>
    <m/>
    <s v="No. 95 4th Cross, Vastu Enclave, Kudalu Village ,Hosur Road, Bangalore"/>
    <n v="94500"/>
  </r>
  <r>
    <n v="159"/>
    <s v="Mr. "/>
    <s v="Saiju George Mathew"/>
    <n v="2000"/>
    <d v="2013-01-13T00:00:00"/>
    <s v="R1601"/>
    <x v="1"/>
    <s v="Cash"/>
    <m/>
    <m/>
    <m/>
    <m/>
    <m/>
    <s v="Entered"/>
    <n v="111"/>
    <m/>
    <s v="No 6Q, C Block , Aratukulam Lake View County, Manipal Country Rd ,Singasandra, Bangalore 68"/>
    <n v="96500"/>
  </r>
  <r>
    <n v="160"/>
    <s v="Mr. "/>
    <s v="Romi T Samuel"/>
    <n v="1200"/>
    <d v="2013-01-13T00:00:00"/>
    <s v="R1602"/>
    <x v="1"/>
    <s v="Cash"/>
    <m/>
    <m/>
    <m/>
    <m/>
    <m/>
    <s v="Entered"/>
    <n v="129"/>
    <m/>
    <s v="16, 1st floor, 3rd Main, 2nd Cross,KR Nanjappa Layout, Koramangala ,Bangalore 95, "/>
    <n v="97700"/>
  </r>
  <r>
    <n v="161"/>
    <s v="Ms."/>
    <s v="Steffy Elizabeth Jose"/>
    <n v="1000"/>
    <d v="2013-01-13T00:00:00"/>
    <s v="R1603"/>
    <x v="1"/>
    <s v="Cash"/>
    <m/>
    <m/>
    <m/>
    <m/>
    <m/>
    <s v="Entered"/>
    <n v="135"/>
    <s v="Steffy Elizabeth Sunny, Palasseril, Edayaranmula"/>
    <s v="St. Johns Nursing College, Sarjapur Road, Koramangala ,, Bangalore 34"/>
    <n v="98700"/>
  </r>
  <r>
    <n v="162"/>
    <s v="Mr. "/>
    <s v="Sony Varghese"/>
    <n v="500"/>
    <d v="2013-01-13T00:00:00"/>
    <s v="R1604"/>
    <x v="1"/>
    <s v="Cash"/>
    <m/>
    <m/>
    <m/>
    <m/>
    <m/>
    <s v="Entered"/>
    <n v="196"/>
    <m/>
    <s v="B-209, Creative Residency, New BESCOM Power Station , HSR 2nd sector ,, Bangalore 102"/>
    <n v="99200"/>
  </r>
  <r>
    <n v="163"/>
    <s v="Mr. "/>
    <s v="Benny Mathew Chacko"/>
    <n v="8000"/>
    <d v="2013-01-13T00:00:00"/>
    <s v="R1605"/>
    <x v="1"/>
    <s v="Cash"/>
    <m/>
    <m/>
    <m/>
    <m/>
    <m/>
    <s v="Entered"/>
    <n v="201"/>
    <m/>
    <s v="G3, Uma Skanda Apt, , 20 Eagle Street, Langford Town, Shanti Nagar, ,, Blr 25"/>
    <n v="107200"/>
  </r>
  <r>
    <n v="164"/>
    <s v="Mr. "/>
    <s v="Tomsy Thomas Kurian"/>
    <n v="1000"/>
    <d v="2013-01-13T00:00:00"/>
    <s v="R1606"/>
    <x v="1"/>
    <s v="Cash"/>
    <m/>
    <m/>
    <m/>
    <m/>
    <m/>
    <s v="Entered"/>
    <n v="180"/>
    <m/>
    <s v="A206, Vascon Venus Beretina, Agrahara, Near Hosa Road Junction ,, Bangalore"/>
    <n v="108200"/>
  </r>
  <r>
    <n v="165"/>
    <s v="Mr. "/>
    <s v="Sam T Mathew"/>
    <n v="1000"/>
    <d v="2013-01-13T00:00:00"/>
    <s v="R1607"/>
    <x v="1"/>
    <s v="Cash"/>
    <m/>
    <m/>
    <m/>
    <m/>
    <m/>
    <s v="Entered"/>
    <n v="116"/>
    <m/>
    <s v="S 2 , MS Park, Gotigere, Bannerghata Road,  ,Bangalore, "/>
    <n v="109200"/>
  </r>
  <r>
    <n v="166"/>
    <s v="Mr. "/>
    <s v="Chacko P T"/>
    <n v="1000"/>
    <d v="2013-01-13T00:00:00"/>
    <s v="R1608"/>
    <x v="1"/>
    <s v="Cash"/>
    <m/>
    <m/>
    <m/>
    <m/>
    <m/>
    <s v="Entered"/>
    <n v="63"/>
    <m/>
    <s v="E-201 Oceanus Triton, Bellandur.P.O, Off Sarjapur Road ,Bangalore 103, "/>
    <n v="110200"/>
  </r>
  <r>
    <n v="167"/>
    <s v="Mr. "/>
    <s v="Binu Koshy"/>
    <n v="5200"/>
    <d v="2013-01-13T00:00:00"/>
    <s v="R1609"/>
    <x v="1"/>
    <s v="Cash"/>
    <m/>
    <m/>
    <m/>
    <m/>
    <m/>
    <s v="Entered"/>
    <n v="148"/>
    <m/>
    <s v="Flat# 6 C2, Om Shakthi Appts, Beside Sun City, , Sarjapur ORR ,Bangalore , "/>
    <n v="115400"/>
  </r>
  <r>
    <n v="168"/>
    <e v="#N/A"/>
    <s v="Unknown"/>
    <n v="200"/>
    <d v="2013-01-13T00:00:00"/>
    <s v="R1610"/>
    <x v="1"/>
    <s v="Cash"/>
    <m/>
    <m/>
    <m/>
    <m/>
    <m/>
    <s v="Entered"/>
    <e v="#N/A"/>
    <m/>
    <e v="#N/A"/>
    <n v="115600"/>
  </r>
  <r>
    <n v="169"/>
    <s v="Mr. "/>
    <s v="Cherian Thomas"/>
    <n v="2000"/>
    <d v="2013-01-13T00:00:00"/>
    <s v="R1611"/>
    <x v="1"/>
    <s v="Cheque"/>
    <s v="SBI"/>
    <s v="319875"/>
    <d v="2013-01-13T00:00:00"/>
    <s v="Laly Cherian"/>
    <m/>
    <s v="Entered"/>
    <n v="152"/>
    <m/>
    <s v="#901, Concert, HM Symphony, Kasavanahalli,  ,Bangalore 35, "/>
    <n v="117600"/>
  </r>
  <r>
    <n v="170"/>
    <s v="Mr. "/>
    <s v="David C Mathew"/>
    <n v="7000"/>
    <d v="2013-01-13T00:00:00"/>
    <s v="R1612"/>
    <x v="1"/>
    <s v="Cheque"/>
    <s v="Union Bank"/>
    <s v="003723"/>
    <d v="2013-01-12T00:00:00"/>
    <m/>
    <m/>
    <s v="Entered"/>
    <n v="8"/>
    <m/>
    <s v="1B 406, Elan Homes, Kaikondanahalli ,Bangalore 35, "/>
    <n v="124600"/>
  </r>
  <r>
    <n v="171"/>
    <s v="Mr. "/>
    <s v="Verghese M C"/>
    <n v="1000"/>
    <d v="2013-01-13T00:00:00"/>
    <s v="R1613"/>
    <x v="1"/>
    <s v="Cheque"/>
    <s v="IOB"/>
    <s v="511360"/>
    <d v="2013-01-13T00:00:00"/>
    <s v="Achamma Verghese"/>
    <m/>
    <s v="Entered"/>
    <n v="78"/>
    <m/>
    <s v="38/139 TrinityMeadows, Bellandur. P.O, Off Sarjapur Road ,Bangalore, "/>
    <n v="125600"/>
  </r>
  <r>
    <n v="172"/>
    <s v="Mr. "/>
    <s v="Thomas K Kovoor"/>
    <n v="3500"/>
    <d v="2013-01-13T00:00:00"/>
    <s v="R1614"/>
    <x v="1"/>
    <s v="Cheque"/>
    <s v="RBS"/>
    <s v="726214"/>
    <d v="2013-01-13T00:00:00"/>
    <m/>
    <m/>
    <s v="Entered"/>
    <n v="153"/>
    <m/>
    <s v="#208, Accord, HM Symphony, Kasavanahalli,  ,Bangalore 35, "/>
    <n v="129100"/>
  </r>
  <r>
    <n v="173"/>
    <s v="Mr. "/>
    <s v="Shaji Jose"/>
    <n v="500"/>
    <d v="2013-01-20T00:00:00"/>
    <s v="R1615"/>
    <x v="1"/>
    <s v="Cash"/>
    <m/>
    <m/>
    <m/>
    <m/>
    <m/>
    <s v="Entered"/>
    <n v="122"/>
    <m/>
    <s v="No 128, Bansakari Nilaya, Koramangala 95 ,, "/>
    <n v="129600"/>
  </r>
  <r>
    <n v="174"/>
    <s v="Cmd."/>
    <s v="George P G (HSR)"/>
    <n v="3000"/>
    <d v="2013-01-20T00:00:00"/>
    <s v="R1616"/>
    <x v="1"/>
    <s v="Cash"/>
    <m/>
    <m/>
    <m/>
    <m/>
    <m/>
    <s v="Entered"/>
    <n v="198"/>
    <m/>
    <s v="#597, 15th B Main, 15th Cross, Sector 4, HSR Layout  ,Bangalore 102, "/>
    <n v="132600"/>
  </r>
  <r>
    <n v="175"/>
    <s v="Mr. "/>
    <s v="Praveen Cherian"/>
    <n v="10000"/>
    <d v="2013-01-20T00:00:00"/>
    <s v="R1617"/>
    <x v="1"/>
    <s v="Cash"/>
    <m/>
    <m/>
    <m/>
    <m/>
    <m/>
    <s v="Entered"/>
    <n v="45"/>
    <m/>
    <s v="1-B, East Wood Town Ship, Harlur Road ,Off Sarjapur Rd, Bangalore 102"/>
    <n v="142600"/>
  </r>
  <r>
    <n v="176"/>
    <s v="Mr. "/>
    <s v="Jeffin Mammen"/>
    <n v="2000"/>
    <d v="2013-01-20T00:00:00"/>
    <s v="R1618"/>
    <x v="1"/>
    <s v="Cash"/>
    <m/>
    <m/>
    <m/>
    <m/>
    <m/>
    <s v="Entered"/>
    <n v="98"/>
    <m/>
    <s v="C-008, Raj Rajeshwari Nivas , Hongasandra Village, Vajpai Nagar, Bommanahalli ,, Bangalore 68"/>
    <n v="144600"/>
  </r>
  <r>
    <n v="177"/>
    <s v="Miss."/>
    <s v="Neesha Rose Mathew"/>
    <n v="2000"/>
    <d v="2013-01-20T00:00:00"/>
    <s v="R1619"/>
    <x v="1"/>
    <s v="Cash"/>
    <m/>
    <m/>
    <m/>
    <m/>
    <m/>
    <s v="Entered"/>
    <n v="112"/>
    <m/>
    <s v="C-18  'Grace' , Kudremukh Colony, Koramangala ,Bangalore 34, "/>
    <n v="146600"/>
  </r>
  <r>
    <n v="178"/>
    <s v="Mr. "/>
    <s v="Robin T Mathew"/>
    <n v="500"/>
    <d v="2013-01-20T00:00:00"/>
    <s v="R1620"/>
    <x v="1"/>
    <s v="Cash"/>
    <m/>
    <m/>
    <m/>
    <m/>
    <m/>
    <s v="Entered"/>
    <n v="88"/>
    <m/>
    <s v="No 611, Confident Antlia - 1, Sarjapur Attibele Road ,Bangalore 125, "/>
    <n v="147100"/>
  </r>
  <r>
    <n v="179"/>
    <e v="#N/A"/>
    <s v="Unknown"/>
    <n v="500"/>
    <d v="2013-01-20T00:00:00"/>
    <s v="R1621"/>
    <x v="1"/>
    <s v="Cash"/>
    <m/>
    <m/>
    <m/>
    <m/>
    <m/>
    <s v="Entered"/>
    <e v="#N/A"/>
    <m/>
    <e v="#N/A"/>
    <n v="147600"/>
  </r>
  <r>
    <n v="180"/>
    <e v="#N/A"/>
    <s v="Unknown"/>
    <n v="100"/>
    <d v="2013-01-20T00:00:00"/>
    <s v="R1622"/>
    <x v="1"/>
    <s v="Cash"/>
    <m/>
    <m/>
    <m/>
    <m/>
    <m/>
    <s v="Entered"/>
    <e v="#N/A"/>
    <m/>
    <e v="#N/A"/>
    <n v="147700"/>
  </r>
  <r>
    <n v="181"/>
    <s v="Mr. "/>
    <s v="Arun P Varghese"/>
    <n v="1000"/>
    <d v="2013-01-20T00:00:00"/>
    <s v="R1623"/>
    <x v="1"/>
    <s v="Cheque"/>
    <s v="ICICI"/>
    <s v="598610"/>
    <d v="2013-01-20T00:00:00"/>
    <m/>
    <m/>
    <s v="Entered"/>
    <s v="1B"/>
    <m/>
    <s v="103- A Block, DSR Orchids, C.R Layout ,Koramangala, Bangalore"/>
    <n v="148700"/>
  </r>
  <r>
    <n v="182"/>
    <s v="Mr. "/>
    <s v="Alex G Manapurathu"/>
    <n v="5000"/>
    <d v="2013-01-20T00:00:00"/>
    <s v="R1624"/>
    <x v="1"/>
    <s v="Cheque"/>
    <s v="SBI"/>
    <s v="159591"/>
    <d v="2013-01-18T00:00:00"/>
    <m/>
    <m/>
    <s v="Entered"/>
    <n v="61"/>
    <m/>
    <s v="40 Rainbow Drive, Carmelaram.P.O, Sarjapur Road ,Bangalore 35, "/>
    <n v="153700"/>
  </r>
  <r>
    <n v="183"/>
    <s v="Mr. "/>
    <s v="Binu Philip"/>
    <n v="3000"/>
    <d v="2013-01-20T00:00:00"/>
    <s v="R1625"/>
    <x v="1"/>
    <s v="Cheque"/>
    <s v="ICICI"/>
    <s v="547178"/>
    <d v="2013-01-14T00:00:00"/>
    <m/>
    <m/>
    <s v="Entered"/>
    <n v="94"/>
    <m/>
    <s v="Flat # 206, Subin Residency Apartments, opposite 4th Cross, BDS garden, Jeddalahalli  ,Kothanur PO, Bangalore 77"/>
    <n v="156700"/>
  </r>
  <r>
    <n v="184"/>
    <s v="Mr. "/>
    <s v="Bejoy Idiculla"/>
    <n v="2000"/>
    <d v="2013-01-27T00:00:00"/>
    <s v="R1626"/>
    <x v="1"/>
    <s v="Cash"/>
    <m/>
    <m/>
    <m/>
    <m/>
    <m/>
    <s v="Entered"/>
    <n v="167"/>
    <m/>
    <s v="# 46, 6th Cross, Pai Layout, Hulimavu, Bannerghatta Road,  ,Bangalore , "/>
    <n v="158700"/>
  </r>
  <r>
    <n v="185"/>
    <s v="Mr."/>
    <s v="John Thomas"/>
    <n v="1000"/>
    <d v="2013-01-27T00:00:00"/>
    <s v="R1627"/>
    <x v="1"/>
    <s v="Cash"/>
    <m/>
    <m/>
    <m/>
    <m/>
    <m/>
    <s v="Entered"/>
    <s v="125"/>
    <m/>
    <s v="104, Kalabhai Rai Apts, New No.23, New Thippasandra,  ,Bangalore 75, "/>
    <n v="159700"/>
  </r>
  <r>
    <n v="186"/>
    <s v="Mr. "/>
    <s v="Joji John"/>
    <n v="1000"/>
    <d v="2013-01-27T00:00:00"/>
    <s v="R1628"/>
    <x v="1"/>
    <s v="Cash"/>
    <m/>
    <m/>
    <m/>
    <m/>
    <m/>
    <s v="Entered"/>
    <n v="172"/>
    <m/>
    <s v="#46/1, 1st A Cross, Brindavan Layout, Padmanabanagar, Blr 61,  ,, "/>
    <n v="160700"/>
  </r>
  <r>
    <n v="187"/>
    <s v="Mr. "/>
    <s v="Vazhayil Jome Jacob"/>
    <n v="5000"/>
    <d v="2013-01-27T00:00:00"/>
    <s v="R1629"/>
    <x v="1"/>
    <s v="Cash"/>
    <m/>
    <m/>
    <m/>
    <m/>
    <m/>
    <s v="Entered"/>
    <n v="55"/>
    <m/>
    <s v="E-204  NDSepal, Somasundarapalaya, HSR 2nd sector ,Bangalore 102, "/>
    <n v="165700"/>
  </r>
  <r>
    <n v="188"/>
    <s v="Mr. "/>
    <s v="Paul Mathai"/>
    <n v="1000"/>
    <d v="2013-01-27T00:00:00"/>
    <s v="R1630"/>
    <x v="1"/>
    <s v="Cash"/>
    <m/>
    <m/>
    <m/>
    <m/>
    <m/>
    <s v="Entered"/>
    <n v="26"/>
    <m/>
    <s v="No.101, Divya Jyothi Apts: 7th Cross, 4th Block ,ST Bed, Bangalore 47"/>
    <n v="166700"/>
  </r>
  <r>
    <n v="189"/>
    <s v="Mr. "/>
    <s v="Robin Alex"/>
    <n v="5000"/>
    <d v="2013-01-27T00:00:00"/>
    <s v="R1631"/>
    <x v="1"/>
    <s v="Cheque"/>
    <s v="SIB"/>
    <s v="711830"/>
    <d v="2013-01-26T00:00:00"/>
    <s v="Sajna Panicker Thomas"/>
    <m/>
    <s v="Entered"/>
    <n v="154"/>
    <m/>
    <s v="#8, Wama Ibbannee Bldg, Kasavanahalli, Caramalaram PO ,Bangalore 35, "/>
    <n v="171700"/>
  </r>
  <r>
    <n v="190"/>
    <s v="Mrs. "/>
    <s v="Mary Jose Mathew"/>
    <n v="5000"/>
    <d v="2013-01-27T00:00:00"/>
    <s v="R1632"/>
    <x v="0"/>
    <s v="Cheque"/>
    <s v="IOB"/>
    <s v="985240"/>
    <d v="2013-01-28T00:00:00"/>
    <m/>
    <m/>
    <s v="Entered"/>
    <n v="68"/>
    <m/>
    <s v="No 431 Ramani, Rainbow Drive, Carmelaram.P.O ,Sarjapur Road, Bangalore 35"/>
    <n v="176700"/>
  </r>
  <r>
    <n v="191"/>
    <s v="Mrs. "/>
    <s v="Mary Jose Mathew"/>
    <n v="2000"/>
    <d v="2013-01-27T00:00:00"/>
    <s v="R1633"/>
    <x v="1"/>
    <s v="Cheque"/>
    <s v="IOB"/>
    <s v="985239"/>
    <d v="2013-01-28T00:00:00"/>
    <m/>
    <m/>
    <s v="Entered"/>
    <n v="68"/>
    <m/>
    <s v="No 431 Ramani, Rainbow Drive, Carmelaram.P.O ,Sarjapur Road, Bangalore 35"/>
    <n v="178700"/>
  </r>
  <r>
    <n v="192"/>
    <s v="Mr. "/>
    <s v="Job Abraham"/>
    <n v="5000"/>
    <d v="2013-01-27T00:00:00"/>
    <s v="R1634"/>
    <x v="1"/>
    <s v="Cheque"/>
    <s v="Kotak"/>
    <s v="00025"/>
    <d v="2013-01-27T00:00:00"/>
    <m/>
    <m/>
    <s v="Entered"/>
    <n v="191"/>
    <m/>
    <s v="No. 1286, Manaloor 11th Cross, 21st D Main, Sector-1 ,H S R, Bangalore 102"/>
    <n v="183700"/>
  </r>
  <r>
    <n v="193"/>
    <s v="Mr. "/>
    <s v="Sarish Aby Mathews"/>
    <n v="10000"/>
    <d v="2013-01-27T00:00:00"/>
    <s v="R1635"/>
    <x v="1"/>
    <s v="Cheque"/>
    <s v="ICICI Bank"/>
    <s v="330166"/>
    <d v="2013-01-27T00:00:00"/>
    <s v="Sindhu Joseph"/>
    <m/>
    <s v="Entered"/>
    <n v="84"/>
    <m/>
    <s v="No. G2, DSR Emerald , 5th Cross ,7th Main Bellandur, Bangalore 103 "/>
    <n v="193700"/>
  </r>
  <r>
    <n v="194"/>
    <s v="Mr. "/>
    <s v="Joseph George"/>
    <n v="3500"/>
    <d v="2013-02-03T00:00:00"/>
    <s v="R1636"/>
    <x v="1"/>
    <s v="Cash"/>
    <m/>
    <m/>
    <m/>
    <m/>
    <m/>
    <s v="Entered"/>
    <n v="9"/>
    <m/>
    <s v="A-3, Kudremukh Colony, Koramangala ,Bangalore 34, "/>
    <n v="197200"/>
  </r>
  <r>
    <n v="196"/>
    <s v="Mr. "/>
    <s v="Moti John Thomas"/>
    <n v="3000"/>
    <d v="2013-02-03T00:00:00"/>
    <s v="R1637"/>
    <x v="1"/>
    <s v="Cash"/>
    <m/>
    <m/>
    <m/>
    <m/>
    <m/>
    <s v="Entered"/>
    <n v="70"/>
    <m/>
    <s v="4  Trinity Meadows, Bellandur.P.O, Off Sarjapur Rd ,Bangalore 103, "/>
    <n v="200200"/>
  </r>
  <r>
    <n v="195"/>
    <s v="Mr. "/>
    <s v="Binoj Jacob Mathew"/>
    <n v="1000"/>
    <d v="2013-02-03T00:00:00"/>
    <s v="R1638"/>
    <x v="1"/>
    <s v="Cash"/>
    <m/>
    <m/>
    <m/>
    <m/>
    <m/>
    <s v="Entered"/>
    <n v="103"/>
    <m/>
    <s v="C-604 Pride Pristine, Shree Anantha Nagar, Phase-3 ,Ecity, Bangalore"/>
    <n v="201200"/>
  </r>
  <r>
    <n v="197"/>
    <s v="Mr. "/>
    <s v="Jacob Verghis"/>
    <n v="1000"/>
    <d v="2013-02-03T00:00:00"/>
    <s v="R1639"/>
    <x v="1"/>
    <s v="Cheque"/>
    <s v="Chartered Sahakari Bank Niyamitha"/>
    <s v="071442"/>
    <d v="2013-02-03T00:00:00"/>
    <s v="Susan Verghis"/>
    <m/>
    <s v="Entered"/>
    <n v="121"/>
    <m/>
    <s v="No 558, 8th Block, Koramangala ,Bangalore 95, "/>
    <n v="202200"/>
  </r>
  <r>
    <n v="198"/>
    <s v="Mr"/>
    <s v="Abraj Thomas Vettuparampil"/>
    <n v="5000"/>
    <d v="2013-02-03T00:00:00"/>
    <s v="R1640"/>
    <x v="1"/>
    <s v="Cheque"/>
    <s v="Axis Bank"/>
    <s v="136970"/>
    <d v="2013-02-03T00:00:00"/>
    <m/>
    <m/>
    <s v="Entered"/>
    <n v="144"/>
    <m/>
    <s v="Villa # 58, Concord Sylvan View, Near Gold Coin Club, Electronicity ,Ramasagara , Bangalore 100"/>
    <n v="207200"/>
  </r>
  <r>
    <n v="199"/>
    <s v="Mr"/>
    <s v="Abraj Thomas Vettuparampil"/>
    <n v="5000"/>
    <d v="2013-02-03T00:00:00"/>
    <s v="R1641"/>
    <x v="0"/>
    <s v="Cheque"/>
    <s v="Axis Bank"/>
    <s v="136971"/>
    <d v="2013-02-03T00:00:00"/>
    <m/>
    <m/>
    <s v="Entered"/>
    <n v="144"/>
    <m/>
    <s v="Villa # 58, Concord Sylvan View, Near Gold Coin Club, Electronicity ,Ramasagara , Bangalore 100"/>
    <n v="212200"/>
  </r>
  <r>
    <n v="200"/>
    <s v="Mr. "/>
    <s v="Abraham A J"/>
    <n v="3000"/>
    <d v="2013-02-03T00:00:00"/>
    <s v="R1642"/>
    <x v="1"/>
    <s v="Cheque"/>
    <s v="SBM"/>
    <s v="448918"/>
    <d v="2013-02-03T00:00:00"/>
    <s v="Mariamma Philip"/>
    <s v="Part of cheque 448918 of total value 20000"/>
    <s v="Entered"/>
    <n v="106"/>
    <m/>
    <s v="NIMHANS-Type-4, Blockk-1, HouseNo. 33 ,B R C Camp, Bangalore 29"/>
    <n v="215200"/>
  </r>
  <r>
    <n v="201"/>
    <s v="Mr. "/>
    <s v="Abraham A J"/>
    <n v="14000"/>
    <d v="2013-02-03T00:00:00"/>
    <s v="R1643"/>
    <x v="0"/>
    <s v="Cheque"/>
    <s v="SBM"/>
    <s v="448918"/>
    <d v="2013-02-03T00:00:00"/>
    <s v="Mariamma Philip"/>
    <s v="Part of cheque 448918 of total value 20000"/>
    <s v="Entered"/>
    <n v="106"/>
    <m/>
    <s v="NIMHANS-Type-4, Blockk-1, HouseNo. 33 ,B R C Camp, Bangalore 29"/>
    <n v="229200"/>
  </r>
  <r>
    <n v="202"/>
    <s v="Mr. "/>
    <s v="Kurian Thomas"/>
    <n v="1000"/>
    <d v="2013-02-03T00:00:00"/>
    <s v="R1644"/>
    <x v="1"/>
    <s v="Cash"/>
    <m/>
    <m/>
    <m/>
    <m/>
    <m/>
    <s v="Entered"/>
    <s v="n/a"/>
    <m/>
    <s v=", ,  ,, "/>
    <n v="230200"/>
  </r>
  <r>
    <n v="203"/>
    <s v="Mr. "/>
    <s v="Chacko V M"/>
    <n v="500"/>
    <d v="2013-02-10T00:00:00"/>
    <s v="R1645"/>
    <x v="1"/>
    <s v="Cash"/>
    <m/>
    <m/>
    <m/>
    <m/>
    <m/>
    <s v="Entered"/>
    <n v="3"/>
    <m/>
    <s v="# 394/225/2, 1st Floor, Opp NDDB Layout, KR Garden ,Koramangala 8th Block, Bangalore 95"/>
    <n v="230700"/>
  </r>
  <r>
    <n v="204"/>
    <s v="Mr. "/>
    <s v="John C T"/>
    <n v="250"/>
    <d v="2013-02-10T00:00:00"/>
    <s v="R1646"/>
    <x v="1"/>
    <s v="Cash"/>
    <m/>
    <m/>
    <m/>
    <m/>
    <m/>
    <s v="Entered"/>
    <n v="33"/>
    <m/>
    <s v="T-4 Palm Grove Apts:, 10/1 1st Main 4th Cross, 6th Blk ,Koramangala, Bangalore"/>
    <n v="230950"/>
  </r>
  <r>
    <n v="205"/>
    <s v="Mr. "/>
    <s v="Mathew Kutty N K"/>
    <n v="300"/>
    <d v="2013-02-10T00:00:00"/>
    <s v="R1647"/>
    <x v="1"/>
    <s v="Cash"/>
    <m/>
    <m/>
    <m/>
    <m/>
    <m/>
    <s v="Entered"/>
    <n v="11"/>
    <m/>
    <s v="49/3, 5th Cross 3rd Main, Jakkasandra ,Koramangala, Bangalore"/>
    <n v="231250"/>
  </r>
  <r>
    <n v="206"/>
    <s v="Mr. "/>
    <s v="Biju S Kunjukunju"/>
    <n v="5000"/>
    <d v="2013-02-10T00:00:00"/>
    <s v="R1649"/>
    <x v="1"/>
    <s v="Cheque"/>
    <s v="HDFC"/>
    <s v="133655"/>
    <d v="2013-02-10T00:00:00"/>
    <m/>
    <m/>
    <s v="Entered"/>
    <n v="146"/>
    <m/>
    <s v="6062, Sobha Iris, Devarabisanahalli, Opp Intel, Outer Ring Road ,Bangalore 35, "/>
    <n v="236250"/>
  </r>
  <r>
    <n v="207"/>
    <s v="Mr. "/>
    <s v="Anoob Oommen"/>
    <n v="3500"/>
    <d v="2013-02-17T00:00:00"/>
    <s v="R1650"/>
    <x v="0"/>
    <s v="Cheque"/>
    <s v="Citi"/>
    <s v="823488"/>
    <d v="2013-02-17T00:00:00"/>
    <m/>
    <m/>
    <s v="Entered"/>
    <n v="51"/>
    <m/>
    <s v="No.G3 BkA, SVR Flora, HarlukunteVillage ,HSR  2nd sector, Bangalore"/>
    <n v="239750"/>
  </r>
  <r>
    <n v="208"/>
    <s v="Mr. "/>
    <s v="Jacob Thomas"/>
    <n v="1000"/>
    <d v="2013-02-17T00:00:00"/>
    <s v="R1653"/>
    <x v="1"/>
    <s v="Cash"/>
    <m/>
    <m/>
    <m/>
    <m/>
    <m/>
    <s v="QIF Generated"/>
    <n v="92"/>
    <m/>
    <s v="#34/139, 4th Cross, GERE College Rd, Dodakanahalli ,Carmalram PO, Bangalore 35"/>
    <n v="240750"/>
  </r>
  <r>
    <n v="209"/>
    <s v="Mr. "/>
    <s v="Shiju Mathew"/>
    <n v="200"/>
    <d v="2013-02-17T00:00:00"/>
    <s v="R1656"/>
    <x v="1"/>
    <s v="Cash"/>
    <m/>
    <m/>
    <m/>
    <m/>
    <m/>
    <s v="QIF Generated"/>
    <n v="200"/>
    <m/>
    <s v="No 18/7, 7th B cros, .Venkatapura Extn, Kormangala ,Bangalore 34, "/>
    <n v="240950"/>
  </r>
  <r>
    <n v="210"/>
    <s v="Mr. "/>
    <s v="Soj Thomas"/>
    <n v="2000"/>
    <d v="2013-02-17T00:00:00"/>
    <s v="R1657"/>
    <x v="1"/>
    <s v="Cash"/>
    <m/>
    <m/>
    <m/>
    <m/>
    <m/>
    <s v="QIF Generated"/>
    <n v="48"/>
    <m/>
    <s v="Apt: D-303, Purva Fair Mount, Sector-2 ,HSR Layout, Bangalore 102"/>
    <n v="242950"/>
  </r>
  <r>
    <n v="211"/>
    <e v="#N/A"/>
    <m/>
    <m/>
    <m/>
    <m/>
    <x v="2"/>
    <m/>
    <m/>
    <m/>
    <m/>
    <m/>
    <m/>
    <m/>
    <e v="#N/A"/>
    <m/>
    <e v="#N/A"/>
    <m/>
  </r>
  <r>
    <n v="212"/>
    <e v="#N/A"/>
    <m/>
    <m/>
    <m/>
    <m/>
    <x v="2"/>
    <m/>
    <m/>
    <m/>
    <m/>
    <m/>
    <m/>
    <m/>
    <e v="#N/A"/>
    <m/>
    <e v="#N/A"/>
    <m/>
  </r>
  <r>
    <n v="213"/>
    <e v="#N/A"/>
    <m/>
    <m/>
    <m/>
    <m/>
    <x v="2"/>
    <m/>
    <m/>
    <m/>
    <m/>
    <m/>
    <m/>
    <m/>
    <e v="#N/A"/>
    <m/>
    <e v="#N/A"/>
    <m/>
  </r>
  <r>
    <n v="214"/>
    <e v="#N/A"/>
    <m/>
    <m/>
    <m/>
    <m/>
    <x v="2"/>
    <m/>
    <m/>
    <m/>
    <m/>
    <m/>
    <m/>
    <m/>
    <e v="#N/A"/>
    <m/>
    <e v="#N/A"/>
    <m/>
  </r>
  <r>
    <n v="215"/>
    <e v="#N/A"/>
    <m/>
    <m/>
    <m/>
    <m/>
    <x v="2"/>
    <m/>
    <m/>
    <m/>
    <m/>
    <m/>
    <m/>
    <m/>
    <e v="#N/A"/>
    <m/>
    <e v="#N/A"/>
    <m/>
  </r>
  <r>
    <n v="216"/>
    <e v="#N/A"/>
    <m/>
    <m/>
    <m/>
    <m/>
    <x v="2"/>
    <m/>
    <m/>
    <m/>
    <m/>
    <m/>
    <m/>
    <m/>
    <e v="#N/A"/>
    <m/>
    <e v="#N/A"/>
    <m/>
  </r>
  <r>
    <n v="217"/>
    <e v="#N/A"/>
    <m/>
    <m/>
    <m/>
    <m/>
    <x v="2"/>
    <m/>
    <m/>
    <m/>
    <m/>
    <m/>
    <m/>
    <m/>
    <e v="#N/A"/>
    <m/>
    <e v="#N/A"/>
    <m/>
  </r>
  <r>
    <n v="218"/>
    <e v="#N/A"/>
    <m/>
    <m/>
    <m/>
    <m/>
    <x v="2"/>
    <m/>
    <m/>
    <m/>
    <m/>
    <m/>
    <m/>
    <m/>
    <e v="#N/A"/>
    <m/>
    <e v="#N/A"/>
    <m/>
  </r>
  <r>
    <n v="219"/>
    <e v="#N/A"/>
    <m/>
    <m/>
    <m/>
    <m/>
    <x v="2"/>
    <m/>
    <m/>
    <m/>
    <m/>
    <m/>
    <m/>
    <m/>
    <e v="#N/A"/>
    <m/>
    <e v="#N/A"/>
    <m/>
  </r>
  <r>
    <n v="220"/>
    <e v="#N/A"/>
    <m/>
    <m/>
    <m/>
    <m/>
    <x v="2"/>
    <m/>
    <m/>
    <m/>
    <m/>
    <m/>
    <m/>
    <m/>
    <e v="#N/A"/>
    <m/>
    <e v="#N/A"/>
    <m/>
  </r>
  <r>
    <n v="221"/>
    <e v="#N/A"/>
    <m/>
    <m/>
    <m/>
    <m/>
    <x v="2"/>
    <m/>
    <m/>
    <m/>
    <m/>
    <m/>
    <m/>
    <m/>
    <e v="#N/A"/>
    <m/>
    <e v="#N/A"/>
    <m/>
  </r>
  <r>
    <n v="222"/>
    <e v="#N/A"/>
    <m/>
    <m/>
    <m/>
    <m/>
    <x v="2"/>
    <m/>
    <m/>
    <m/>
    <m/>
    <m/>
    <m/>
    <m/>
    <e v="#N/A"/>
    <m/>
    <e v="#N/A"/>
    <m/>
  </r>
  <r>
    <n v="223"/>
    <e v="#N/A"/>
    <m/>
    <m/>
    <m/>
    <m/>
    <x v="2"/>
    <m/>
    <m/>
    <m/>
    <m/>
    <m/>
    <m/>
    <m/>
    <e v="#N/A"/>
    <m/>
    <e v="#N/A"/>
    <m/>
  </r>
  <r>
    <n v="224"/>
    <e v="#N/A"/>
    <m/>
    <m/>
    <m/>
    <m/>
    <x v="2"/>
    <m/>
    <m/>
    <m/>
    <m/>
    <m/>
    <m/>
    <m/>
    <e v="#N/A"/>
    <m/>
    <e v="#N/A"/>
    <m/>
  </r>
  <r>
    <n v="225"/>
    <e v="#N/A"/>
    <m/>
    <m/>
    <m/>
    <m/>
    <x v="2"/>
    <m/>
    <m/>
    <m/>
    <m/>
    <m/>
    <m/>
    <m/>
    <e v="#N/A"/>
    <m/>
    <e v="#N/A"/>
    <m/>
  </r>
  <r>
    <n v="226"/>
    <e v="#N/A"/>
    <m/>
    <m/>
    <m/>
    <m/>
    <x v="2"/>
    <m/>
    <m/>
    <m/>
    <m/>
    <m/>
    <m/>
    <m/>
    <e v="#N/A"/>
    <m/>
    <e v="#N/A"/>
    <m/>
  </r>
  <r>
    <n v="227"/>
    <e v="#N/A"/>
    <m/>
    <m/>
    <m/>
    <m/>
    <x v="2"/>
    <m/>
    <m/>
    <m/>
    <m/>
    <m/>
    <m/>
    <m/>
    <e v="#N/A"/>
    <m/>
    <e v="#N/A"/>
    <m/>
  </r>
  <r>
    <n v="228"/>
    <e v="#N/A"/>
    <m/>
    <m/>
    <m/>
    <m/>
    <x v="2"/>
    <m/>
    <m/>
    <m/>
    <m/>
    <m/>
    <m/>
    <m/>
    <e v="#N/A"/>
    <m/>
    <e v="#N/A"/>
    <m/>
  </r>
  <r>
    <n v="229"/>
    <e v="#N/A"/>
    <m/>
    <m/>
    <m/>
    <m/>
    <x v="2"/>
    <m/>
    <m/>
    <m/>
    <m/>
    <m/>
    <m/>
    <m/>
    <e v="#N/A"/>
    <m/>
    <e v="#N/A"/>
    <m/>
  </r>
  <r>
    <n v="230"/>
    <e v="#N/A"/>
    <m/>
    <m/>
    <m/>
    <m/>
    <x v="2"/>
    <m/>
    <m/>
    <m/>
    <m/>
    <m/>
    <m/>
    <m/>
    <e v="#N/A"/>
    <m/>
    <e v="#N/A"/>
    <m/>
  </r>
  <r>
    <n v="231"/>
    <e v="#N/A"/>
    <m/>
    <m/>
    <m/>
    <m/>
    <x v="2"/>
    <m/>
    <m/>
    <m/>
    <m/>
    <m/>
    <m/>
    <m/>
    <e v="#N/A"/>
    <m/>
    <e v="#N/A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8" firstHeaderRow="1" firstDataRow="2" firstDataCol="1"/>
  <pivotFields count="18">
    <pivotField showAll="0"/>
    <pivotField showAll="0"/>
    <pivotField showAll="0"/>
    <pivotField dataField="1" showAll="0"/>
    <pivotField showAll="0"/>
    <pivotField showAll="0"/>
    <pivotField axis="axisRow" dataField="1" showAll="0">
      <items count="5">
        <item x="1"/>
        <item x="0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Account" fld="6" subtotal="count" baseField="0" baseItem="0"/>
    <dataField name="Sum of Amount" fld="3" baseField="6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5" displayName="Table25" ref="A1:N4" totalsRowShown="0" headerRowDxfId="18" dataDxfId="16" headerRowBorderDxfId="17" tableBorderDxfId="15" totalsRowBorderDxfId="14" headerRowCellStyle="Normal 2" dataCellStyle="Normal 2">
  <autoFilter ref="A1:N4"/>
  <tableColumns count="14">
    <tableColumn id="15" name="Name" dataDxfId="13" dataCellStyle="Normal 2"/>
    <tableColumn id="1" name="SlNo" dataDxfId="12" dataCellStyle="Normal 2"/>
    <tableColumn id="2" name="ERNo" dataDxfId="11" dataCellStyle="Normal 2"/>
    <tableColumn id="3" name="Salutation" dataDxfId="10" dataCellStyle="Normal 2"/>
    <tableColumn id="5" name="Land Line" dataDxfId="9" dataCellStyle="Normal 2"/>
    <tableColumn id="6" name="Mobile" dataDxfId="8" dataCellStyle="Normal 2"/>
    <tableColumn id="7" name="Address Line 1" dataDxfId="7" dataCellStyle="Normal 2"/>
    <tableColumn id="8" name="Address Line 2" dataDxfId="6" dataCellStyle="Normal 2"/>
    <tableColumn id="9" name="Address Line 3" dataDxfId="5" dataCellStyle="Normal 2"/>
    <tableColumn id="10" name="Address Line 4" dataDxfId="4" dataCellStyle="Normal 2"/>
    <tableColumn id="11" name="Address Line 5" dataDxfId="3" dataCellStyle="Normal 2"/>
    <tableColumn id="12" name="HOF" dataDxfId="2" dataCellStyle="Normal 2"/>
    <tableColumn id="17" name="Address" dataDxfId="1" dataCellStyle="Normal 2">
      <calculatedColumnFormula>(Table25[[#This Row],[Address Line 1]]&amp;", "&amp;Table25[[#This Row],[Address Line 2]]&amp;", "&amp;Table25[[#This Row],[Address Line 3]]&amp;" ,"&amp;Table25[[#This Row],[Address Line 4]]&amp;", "&amp;Table25[[#This Row],[Address Line 5]])</calculatedColumnFormula>
    </tableColumn>
    <tableColumn id="13" name="Group" dataDxfId="0" dataCellStyle="Normal 2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8"/>
  <sheetViews>
    <sheetView workbookViewId="0">
      <selection activeCell="E19" sqref="E19"/>
    </sheetView>
  </sheetViews>
  <sheetFormatPr defaultRowHeight="15" x14ac:dyDescent="0.25"/>
  <cols>
    <col min="1" max="1" width="15.5703125" customWidth="1"/>
    <col min="2" max="2" width="16.28515625" customWidth="1"/>
    <col min="3" max="4" width="14.85546875" customWidth="1"/>
    <col min="5" max="6" width="16.28515625" bestFit="1" customWidth="1"/>
    <col min="7" max="7" width="21.42578125" bestFit="1" customWidth="1"/>
    <col min="8" max="8" width="20.85546875" bestFit="1" customWidth="1"/>
  </cols>
  <sheetData>
    <row r="3" spans="1:3" x14ac:dyDescent="0.25">
      <c r="B3" s="1" t="s">
        <v>71</v>
      </c>
    </row>
    <row r="4" spans="1:3" x14ac:dyDescent="0.25">
      <c r="A4" s="1" t="s">
        <v>31</v>
      </c>
      <c r="B4" t="s">
        <v>35</v>
      </c>
      <c r="C4" t="s">
        <v>36</v>
      </c>
    </row>
    <row r="5" spans="1:3" x14ac:dyDescent="0.25">
      <c r="A5" s="2" t="s">
        <v>28</v>
      </c>
      <c r="B5" s="3">
        <v>87</v>
      </c>
      <c r="C5" s="3">
        <v>215450</v>
      </c>
    </row>
    <row r="6" spans="1:3" x14ac:dyDescent="0.25">
      <c r="A6" s="2" t="s">
        <v>29</v>
      </c>
      <c r="B6" s="3">
        <v>123</v>
      </c>
      <c r="C6" s="3">
        <v>472450</v>
      </c>
    </row>
    <row r="7" spans="1:3" x14ac:dyDescent="0.25">
      <c r="A7" s="2" t="s">
        <v>32</v>
      </c>
      <c r="B7" s="3"/>
      <c r="C7" s="3"/>
    </row>
    <row r="8" spans="1:3" x14ac:dyDescent="0.25">
      <c r="A8" s="2" t="s">
        <v>33</v>
      </c>
      <c r="B8" s="3">
        <v>210</v>
      </c>
      <c r="C8" s="3">
        <v>687900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753"/>
  <sheetViews>
    <sheetView tabSelected="1" zoomScaleNormal="100" workbookViewId="0">
      <pane ySplit="1" topLeftCell="A2" activePane="bottomLeft" state="frozen"/>
      <selection pane="bottomLeft" activeCell="B9" sqref="B9"/>
    </sheetView>
  </sheetViews>
  <sheetFormatPr defaultRowHeight="12.75" x14ac:dyDescent="0.2"/>
  <cols>
    <col min="1" max="1" width="5.85546875" style="47" customWidth="1"/>
    <col min="2" max="2" width="9.140625" style="47" customWidth="1"/>
    <col min="3" max="3" width="25.140625" style="47" customWidth="1"/>
    <col min="4" max="4" width="8" style="47" customWidth="1"/>
    <col min="5" max="5" width="11.5703125" style="48" bestFit="1" customWidth="1"/>
    <col min="6" max="6" width="7" style="47" customWidth="1"/>
    <col min="7" max="7" width="19" style="33" customWidth="1"/>
    <col min="8" max="8" width="7.85546875" style="33" customWidth="1"/>
    <col min="9" max="9" width="12.42578125" style="33" customWidth="1"/>
    <col min="10" max="10" width="7.140625" style="33" customWidth="1"/>
    <col min="11" max="11" width="11.28515625" style="33" customWidth="1"/>
    <col min="12" max="12" width="14.7109375" style="33" customWidth="1"/>
    <col min="13" max="13" width="17.7109375" style="33" customWidth="1"/>
    <col min="14" max="14" width="10" style="33" customWidth="1"/>
    <col min="15" max="15" width="8.28515625" style="33" customWidth="1"/>
    <col min="16" max="16" width="28.7109375" style="33" customWidth="1"/>
    <col min="17" max="17" width="62.42578125" style="33" customWidth="1"/>
    <col min="18" max="18" width="9.7109375" style="33" customWidth="1"/>
    <col min="19" max="16384" width="9.140625" style="33"/>
  </cols>
  <sheetData>
    <row r="1" spans="1:20" s="31" customFormat="1" ht="36" customHeight="1" x14ac:dyDescent="0.2">
      <c r="A1" s="46" t="s">
        <v>1</v>
      </c>
      <c r="B1" s="47" t="s">
        <v>11</v>
      </c>
      <c r="C1" s="46" t="s">
        <v>2</v>
      </c>
      <c r="D1" s="46" t="s">
        <v>7</v>
      </c>
      <c r="E1" s="48" t="s">
        <v>14</v>
      </c>
      <c r="F1" s="46" t="s">
        <v>12</v>
      </c>
      <c r="G1" s="43" t="s">
        <v>27</v>
      </c>
      <c r="H1" s="28" t="s">
        <v>3</v>
      </c>
      <c r="I1" s="28" t="s">
        <v>4</v>
      </c>
      <c r="J1" s="28" t="s">
        <v>5</v>
      </c>
      <c r="K1" s="28" t="s">
        <v>26</v>
      </c>
      <c r="L1" s="30" t="s">
        <v>6</v>
      </c>
      <c r="M1" s="28" t="s">
        <v>9</v>
      </c>
      <c r="N1" s="28" t="s">
        <v>30</v>
      </c>
      <c r="O1" s="28" t="s">
        <v>13</v>
      </c>
      <c r="P1" s="28" t="s">
        <v>15</v>
      </c>
      <c r="Q1" s="28" t="s">
        <v>10</v>
      </c>
      <c r="R1" s="28" t="s">
        <v>8</v>
      </c>
    </row>
    <row r="2" spans="1:20" x14ac:dyDescent="0.2">
      <c r="A2" s="29">
        <v>1</v>
      </c>
      <c r="B2" s="29" t="str">
        <f>VLOOKUP(C2,Table25[],4,FALSE)</f>
        <v xml:space="preserve">Mr. </v>
      </c>
      <c r="C2" s="40" t="s">
        <v>2</v>
      </c>
      <c r="D2" s="32">
        <v>10000</v>
      </c>
      <c r="E2" s="34">
        <v>41426</v>
      </c>
      <c r="F2" s="40" t="s">
        <v>100</v>
      </c>
      <c r="G2" s="44" t="s">
        <v>87</v>
      </c>
      <c r="H2" s="32" t="s">
        <v>0</v>
      </c>
      <c r="I2" s="32"/>
      <c r="J2" s="35"/>
      <c r="K2" s="36"/>
      <c r="L2" s="32"/>
      <c r="M2" s="32"/>
      <c r="N2" s="29" t="s">
        <v>56</v>
      </c>
      <c r="O2" s="29">
        <f>VLOOKUP(C2,Table25[],3,FALSE)</f>
        <v>1</v>
      </c>
      <c r="P2" s="32"/>
      <c r="Q2" s="29" t="str">
        <f>VLOOKUP(C2,Table25[],13,FALSE)</f>
        <v>A 306, Mantri Sunshine, Dibidibinahalli, Outer Ring Rd ,Dodanakundi PO, Bangalore 12</v>
      </c>
      <c r="R2" s="29">
        <f>D2</f>
        <v>10000</v>
      </c>
    </row>
    <row r="3" spans="1:20" x14ac:dyDescent="0.2">
      <c r="A3" s="29">
        <v>2</v>
      </c>
      <c r="B3" s="29" t="str">
        <f>VLOOKUP(C3,Table25[],4,FALSE)</f>
        <v xml:space="preserve">Mr. </v>
      </c>
      <c r="C3" s="32" t="s">
        <v>89</v>
      </c>
      <c r="D3" s="32">
        <v>10000</v>
      </c>
      <c r="E3" s="34">
        <v>41426</v>
      </c>
      <c r="F3" s="40" t="s">
        <v>101</v>
      </c>
      <c r="G3" s="44" t="s">
        <v>87</v>
      </c>
      <c r="H3" s="32" t="s">
        <v>0</v>
      </c>
      <c r="I3" s="32"/>
      <c r="J3" s="35"/>
      <c r="K3" s="36"/>
      <c r="L3" s="32"/>
      <c r="M3" s="32"/>
      <c r="N3" s="29"/>
      <c r="O3" s="29">
        <f>VLOOKUP(C3,Table25[],3,FALSE)</f>
        <v>2</v>
      </c>
      <c r="P3" s="32"/>
      <c r="Q3" s="29" t="str">
        <f>VLOOKUP(C3,Table25[],13,FALSE)</f>
        <v>No 1 Some Flat, Some Place, Some Locality ,Some Area, Some City</v>
      </c>
      <c r="R3" s="29">
        <f>R2+D3</f>
        <v>20000</v>
      </c>
      <c r="T3" s="37"/>
    </row>
    <row r="4" spans="1:20" x14ac:dyDescent="0.2">
      <c r="A4" s="29">
        <v>3</v>
      </c>
      <c r="B4" s="50" t="s">
        <v>85</v>
      </c>
      <c r="C4" s="32" t="s">
        <v>103</v>
      </c>
      <c r="D4" s="32">
        <v>1000</v>
      </c>
      <c r="E4" s="34">
        <v>41426</v>
      </c>
      <c r="F4" s="40" t="s">
        <v>102</v>
      </c>
      <c r="G4" s="44" t="s">
        <v>87</v>
      </c>
      <c r="H4" s="32" t="s">
        <v>0</v>
      </c>
      <c r="I4" s="32"/>
      <c r="J4" s="35"/>
      <c r="K4" s="36"/>
      <c r="L4" s="32"/>
      <c r="M4" s="32"/>
      <c r="N4" s="29"/>
      <c r="O4" s="29">
        <f>VLOOKUP(C4,Table25[],3,FALSE)</f>
        <v>3</v>
      </c>
      <c r="P4" s="32"/>
      <c r="Q4" s="29" t="str">
        <f>VLOOKUP(C4,Table25[],13,FALSE)</f>
        <v xml:space="preserve">A 2, Some Flat, Some other Place, Some other Locality, Some other Area ,Some Other City, </v>
      </c>
      <c r="R4" s="29">
        <f t="shared" ref="R4" si="0">R3+D4</f>
        <v>21000</v>
      </c>
    </row>
    <row r="5" spans="1:20" x14ac:dyDescent="0.2">
      <c r="A5" s="29"/>
      <c r="B5" s="29"/>
      <c r="C5" s="32"/>
      <c r="D5" s="29"/>
      <c r="E5" s="34"/>
      <c r="F5" s="29"/>
      <c r="G5" s="45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</row>
    <row r="6" spans="1:20" x14ac:dyDescent="0.2">
      <c r="A6" s="29"/>
      <c r="B6" s="29"/>
      <c r="C6" s="32"/>
      <c r="D6" s="29"/>
      <c r="E6" s="34"/>
      <c r="F6" s="29"/>
      <c r="G6" s="45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20" x14ac:dyDescent="0.2">
      <c r="A7" s="29"/>
      <c r="B7" s="29"/>
      <c r="C7" s="32"/>
      <c r="D7" s="29"/>
      <c r="E7" s="34"/>
      <c r="F7" s="29"/>
      <c r="G7" s="45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20" x14ac:dyDescent="0.2">
      <c r="A8" s="29"/>
      <c r="B8" s="29"/>
      <c r="C8" s="32"/>
      <c r="D8" s="29"/>
      <c r="E8" s="34"/>
      <c r="F8" s="29"/>
      <c r="G8" s="45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20" x14ac:dyDescent="0.2">
      <c r="A9" s="29"/>
      <c r="B9" s="29"/>
      <c r="C9" s="32"/>
      <c r="D9" s="29"/>
      <c r="E9" s="34"/>
      <c r="F9" s="29"/>
      <c r="G9" s="45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20" x14ac:dyDescent="0.2">
      <c r="A10" s="29"/>
      <c r="B10" s="29"/>
      <c r="C10" s="32"/>
      <c r="D10" s="29"/>
      <c r="E10" s="34"/>
      <c r="F10" s="29"/>
      <c r="G10" s="45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20" x14ac:dyDescent="0.2">
      <c r="A11" s="29"/>
      <c r="B11" s="29"/>
      <c r="C11" s="32"/>
      <c r="D11" s="29"/>
      <c r="E11" s="34"/>
      <c r="F11" s="29"/>
      <c r="G11" s="45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20" x14ac:dyDescent="0.2">
      <c r="A12" s="29"/>
      <c r="B12" s="29"/>
      <c r="C12" s="32"/>
      <c r="D12" s="29"/>
      <c r="E12" s="34"/>
      <c r="F12" s="29"/>
      <c r="G12" s="45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</row>
    <row r="13" spans="1:20" x14ac:dyDescent="0.2">
      <c r="A13" s="29"/>
      <c r="B13" s="29"/>
      <c r="C13" s="32"/>
      <c r="D13" s="29"/>
      <c r="E13" s="34"/>
      <c r="F13" s="29"/>
      <c r="G13" s="45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</row>
    <row r="14" spans="1:20" x14ac:dyDescent="0.2">
      <c r="A14" s="29"/>
      <c r="B14" s="29"/>
      <c r="C14" s="32"/>
      <c r="D14" s="29"/>
      <c r="E14" s="34"/>
      <c r="F14" s="29"/>
      <c r="G14" s="45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</row>
    <row r="15" spans="1:20" x14ac:dyDescent="0.2">
      <c r="A15" s="29"/>
      <c r="B15" s="29"/>
      <c r="C15" s="32"/>
      <c r="D15" s="29"/>
      <c r="E15" s="34"/>
      <c r="F15" s="29"/>
      <c r="G15" s="45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</row>
    <row r="16" spans="1:20" x14ac:dyDescent="0.2">
      <c r="A16" s="29"/>
      <c r="B16" s="29"/>
      <c r="C16" s="32"/>
      <c r="D16" s="29"/>
      <c r="E16" s="34"/>
      <c r="F16" s="29"/>
      <c r="G16" s="45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</row>
    <row r="17" spans="1:18" x14ac:dyDescent="0.2">
      <c r="A17" s="29"/>
      <c r="B17" s="29"/>
      <c r="C17" s="32"/>
      <c r="D17" s="29"/>
      <c r="E17" s="34"/>
      <c r="F17" s="29"/>
      <c r="G17" s="45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</row>
    <row r="18" spans="1:18" x14ac:dyDescent="0.2">
      <c r="A18" s="29"/>
      <c r="B18" s="29"/>
      <c r="C18" s="32"/>
      <c r="D18" s="29"/>
      <c r="E18" s="34"/>
      <c r="F18" s="29"/>
      <c r="G18" s="45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</row>
    <row r="19" spans="1:18" x14ac:dyDescent="0.2">
      <c r="A19" s="29"/>
      <c r="B19" s="29"/>
      <c r="C19" s="32"/>
      <c r="D19" s="29"/>
      <c r="E19" s="34"/>
      <c r="F19" s="29"/>
      <c r="G19" s="45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</row>
    <row r="20" spans="1:18" x14ac:dyDescent="0.2">
      <c r="A20" s="29"/>
      <c r="B20" s="29"/>
      <c r="C20" s="32"/>
      <c r="D20" s="29"/>
      <c r="E20" s="34"/>
      <c r="F20" s="29"/>
      <c r="G20" s="45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</row>
    <row r="21" spans="1:18" x14ac:dyDescent="0.2">
      <c r="A21" s="29"/>
      <c r="B21" s="29"/>
      <c r="C21" s="32"/>
      <c r="D21" s="29"/>
      <c r="E21" s="34"/>
      <c r="F21" s="29"/>
      <c r="G21" s="45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</row>
    <row r="22" spans="1:18" x14ac:dyDescent="0.2">
      <c r="A22" s="29"/>
      <c r="B22" s="29"/>
      <c r="C22" s="32"/>
      <c r="D22" s="29"/>
      <c r="E22" s="34"/>
      <c r="F22" s="29"/>
      <c r="G22" s="45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</row>
    <row r="23" spans="1:18" x14ac:dyDescent="0.2">
      <c r="A23" s="29"/>
      <c r="B23" s="29"/>
      <c r="C23" s="32"/>
      <c r="D23" s="29"/>
      <c r="E23" s="34"/>
      <c r="F23" s="29"/>
      <c r="G23" s="45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</row>
    <row r="24" spans="1:18" x14ac:dyDescent="0.2">
      <c r="A24" s="29"/>
      <c r="B24" s="29"/>
      <c r="C24" s="32"/>
      <c r="D24" s="29"/>
      <c r="E24" s="34"/>
      <c r="F24" s="29"/>
      <c r="G24" s="45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</row>
    <row r="25" spans="1:18" x14ac:dyDescent="0.2">
      <c r="A25" s="29"/>
      <c r="B25" s="29"/>
      <c r="C25" s="32"/>
      <c r="D25" s="29"/>
      <c r="E25" s="34"/>
      <c r="F25" s="29"/>
      <c r="G25" s="45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1:18" x14ac:dyDescent="0.2">
      <c r="A26" s="29"/>
      <c r="B26" s="29"/>
      <c r="C26" s="32"/>
      <c r="D26" s="29"/>
      <c r="E26" s="34"/>
      <c r="F26" s="29"/>
      <c r="G26" s="45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</row>
    <row r="27" spans="1:18" x14ac:dyDescent="0.2">
      <c r="A27" s="29"/>
      <c r="B27" s="29"/>
      <c r="C27" s="32"/>
      <c r="D27" s="29"/>
      <c r="E27" s="34"/>
      <c r="F27" s="29"/>
      <c r="G27" s="45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</row>
    <row r="28" spans="1:18" x14ac:dyDescent="0.2">
      <c r="A28" s="29"/>
      <c r="B28" s="29"/>
      <c r="C28" s="32"/>
      <c r="D28" s="29"/>
      <c r="E28" s="34"/>
      <c r="F28" s="29"/>
      <c r="G28" s="45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</row>
    <row r="29" spans="1:18" x14ac:dyDescent="0.2">
      <c r="A29" s="29"/>
      <c r="B29" s="29"/>
      <c r="C29" s="32"/>
      <c r="D29" s="29"/>
      <c r="E29" s="34"/>
      <c r="F29" s="29"/>
      <c r="G29" s="45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</row>
    <row r="30" spans="1:18" x14ac:dyDescent="0.2">
      <c r="A30" s="29"/>
      <c r="B30" s="29"/>
      <c r="C30" s="32"/>
      <c r="D30" s="29"/>
      <c r="E30" s="34"/>
      <c r="F30" s="29"/>
      <c r="G30" s="45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</row>
    <row r="31" spans="1:18" x14ac:dyDescent="0.2">
      <c r="A31" s="29"/>
      <c r="B31" s="29"/>
      <c r="C31" s="32"/>
      <c r="D31" s="29"/>
      <c r="E31" s="34"/>
      <c r="F31" s="29"/>
      <c r="G31" s="45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</row>
    <row r="32" spans="1:18" x14ac:dyDescent="0.2">
      <c r="A32" s="29"/>
      <c r="B32" s="29"/>
      <c r="C32" s="32"/>
      <c r="D32" s="29"/>
      <c r="E32" s="34"/>
      <c r="F32" s="29"/>
      <c r="G32" s="45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</row>
    <row r="33" spans="1:18" x14ac:dyDescent="0.2">
      <c r="A33" s="29"/>
      <c r="B33" s="29"/>
      <c r="C33" s="32"/>
      <c r="D33" s="29"/>
      <c r="E33" s="34"/>
      <c r="F33" s="29"/>
      <c r="G33" s="45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</row>
    <row r="34" spans="1:18" x14ac:dyDescent="0.2">
      <c r="A34" s="29"/>
      <c r="B34" s="29"/>
      <c r="C34" s="32"/>
      <c r="D34" s="29"/>
      <c r="E34" s="34"/>
      <c r="F34" s="29"/>
      <c r="G34" s="45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</row>
    <row r="35" spans="1:18" x14ac:dyDescent="0.2">
      <c r="A35" s="29"/>
      <c r="B35" s="29"/>
      <c r="C35" s="32"/>
      <c r="D35" s="29"/>
      <c r="E35" s="34"/>
      <c r="F35" s="29"/>
      <c r="G35" s="45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</row>
    <row r="36" spans="1:18" x14ac:dyDescent="0.2">
      <c r="A36" s="29"/>
      <c r="B36" s="29"/>
      <c r="C36" s="32"/>
      <c r="D36" s="29"/>
      <c r="E36" s="34"/>
      <c r="F36" s="29"/>
      <c r="G36" s="45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</row>
    <row r="37" spans="1:18" x14ac:dyDescent="0.2">
      <c r="A37" s="29"/>
      <c r="B37" s="29"/>
      <c r="C37" s="32"/>
      <c r="D37" s="29"/>
      <c r="E37" s="34"/>
      <c r="F37" s="29"/>
      <c r="G37" s="45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</row>
    <row r="38" spans="1:18" x14ac:dyDescent="0.2">
      <c r="A38" s="29"/>
      <c r="B38" s="29"/>
      <c r="C38" s="32"/>
      <c r="D38" s="29"/>
      <c r="E38" s="34"/>
      <c r="F38" s="29"/>
      <c r="G38" s="45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</row>
    <row r="39" spans="1:18" x14ac:dyDescent="0.2">
      <c r="A39" s="29"/>
      <c r="B39" s="29"/>
      <c r="C39" s="32"/>
      <c r="D39" s="29"/>
      <c r="E39" s="34"/>
      <c r="F39" s="29"/>
      <c r="G39" s="45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</row>
    <row r="40" spans="1:18" x14ac:dyDescent="0.2">
      <c r="A40" s="29"/>
      <c r="B40" s="29"/>
      <c r="C40" s="32"/>
      <c r="D40" s="29"/>
      <c r="E40" s="34"/>
      <c r="F40" s="29"/>
      <c r="G40" s="45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</row>
    <row r="41" spans="1:18" x14ac:dyDescent="0.2">
      <c r="A41" s="29"/>
      <c r="B41" s="29"/>
      <c r="C41" s="32"/>
      <c r="D41" s="29"/>
      <c r="E41" s="34"/>
      <c r="F41" s="29"/>
      <c r="G41" s="45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</row>
    <row r="42" spans="1:18" x14ac:dyDescent="0.2">
      <c r="A42" s="29"/>
      <c r="B42" s="29"/>
      <c r="C42" s="32"/>
      <c r="D42" s="29"/>
      <c r="E42" s="34"/>
      <c r="F42" s="29"/>
      <c r="G42" s="45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</row>
    <row r="43" spans="1:18" x14ac:dyDescent="0.2">
      <c r="A43" s="29"/>
      <c r="B43" s="29"/>
      <c r="C43" s="32"/>
      <c r="D43" s="29"/>
      <c r="E43" s="34"/>
      <c r="F43" s="29"/>
      <c r="G43" s="45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</row>
    <row r="44" spans="1:18" x14ac:dyDescent="0.2">
      <c r="A44" s="29"/>
      <c r="B44" s="29"/>
      <c r="C44" s="32"/>
      <c r="D44" s="29"/>
      <c r="E44" s="34"/>
      <c r="F44" s="29"/>
      <c r="G44" s="45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</row>
    <row r="45" spans="1:18" x14ac:dyDescent="0.2">
      <c r="A45" s="29"/>
      <c r="B45" s="29"/>
      <c r="C45" s="32"/>
      <c r="D45" s="29"/>
      <c r="E45" s="34"/>
      <c r="F45" s="29"/>
      <c r="G45" s="45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</row>
    <row r="46" spans="1:18" x14ac:dyDescent="0.2">
      <c r="A46" s="29"/>
      <c r="B46" s="29"/>
      <c r="C46" s="32"/>
      <c r="D46" s="29"/>
      <c r="E46" s="34"/>
      <c r="F46" s="29"/>
      <c r="G46" s="45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</row>
    <row r="47" spans="1:18" x14ac:dyDescent="0.2">
      <c r="A47" s="29"/>
      <c r="B47" s="29"/>
      <c r="C47" s="32"/>
      <c r="D47" s="29"/>
      <c r="E47" s="34"/>
      <c r="F47" s="29"/>
      <c r="G47" s="45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</row>
    <row r="48" spans="1:18" x14ac:dyDescent="0.2">
      <c r="A48" s="29"/>
      <c r="B48" s="29"/>
      <c r="C48" s="32"/>
      <c r="D48" s="29"/>
      <c r="E48" s="34"/>
      <c r="F48" s="29"/>
      <c r="G48" s="45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</row>
    <row r="49" spans="1:18" x14ac:dyDescent="0.2">
      <c r="A49" s="29"/>
      <c r="B49" s="29"/>
      <c r="C49" s="32"/>
      <c r="D49" s="29"/>
      <c r="E49" s="34"/>
      <c r="F49" s="29"/>
      <c r="G49" s="45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</row>
    <row r="50" spans="1:18" x14ac:dyDescent="0.2">
      <c r="A50" s="29"/>
      <c r="B50" s="29"/>
      <c r="C50" s="32"/>
      <c r="D50" s="29"/>
      <c r="E50" s="34"/>
      <c r="F50" s="29"/>
      <c r="G50" s="45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</row>
    <row r="51" spans="1:18" x14ac:dyDescent="0.2">
      <c r="A51" s="29"/>
      <c r="B51" s="29"/>
      <c r="C51" s="32"/>
      <c r="D51" s="29"/>
      <c r="E51" s="34"/>
      <c r="F51" s="29"/>
      <c r="G51" s="45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</row>
    <row r="52" spans="1:18" x14ac:dyDescent="0.2">
      <c r="A52" s="29"/>
      <c r="B52" s="29"/>
      <c r="C52" s="32"/>
      <c r="D52" s="29"/>
      <c r="E52" s="34"/>
      <c r="F52" s="29"/>
      <c r="G52" s="45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</row>
    <row r="53" spans="1:18" x14ac:dyDescent="0.2">
      <c r="A53" s="29"/>
      <c r="B53" s="29"/>
      <c r="C53" s="32"/>
      <c r="D53" s="29"/>
      <c r="E53" s="34"/>
      <c r="F53" s="29"/>
      <c r="G53" s="45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</row>
    <row r="54" spans="1:18" x14ac:dyDescent="0.2">
      <c r="A54" s="29"/>
      <c r="B54" s="29"/>
      <c r="C54" s="32"/>
      <c r="D54" s="29"/>
      <c r="E54" s="34"/>
      <c r="F54" s="29"/>
      <c r="G54" s="45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</row>
    <row r="55" spans="1:18" x14ac:dyDescent="0.2">
      <c r="A55" s="29"/>
      <c r="B55" s="29"/>
      <c r="C55" s="32"/>
      <c r="D55" s="29"/>
      <c r="E55" s="34"/>
      <c r="F55" s="29"/>
      <c r="G55" s="45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</row>
    <row r="56" spans="1:18" x14ac:dyDescent="0.2">
      <c r="A56" s="29"/>
      <c r="B56" s="29"/>
      <c r="C56" s="32"/>
      <c r="D56" s="29"/>
      <c r="E56" s="34"/>
      <c r="F56" s="29"/>
      <c r="G56" s="45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</row>
    <row r="57" spans="1:18" x14ac:dyDescent="0.2">
      <c r="A57" s="29"/>
      <c r="B57" s="29"/>
      <c r="C57" s="32"/>
      <c r="D57" s="29"/>
      <c r="E57" s="34"/>
      <c r="F57" s="29"/>
      <c r="G57" s="45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</row>
    <row r="58" spans="1:18" x14ac:dyDescent="0.2">
      <c r="A58" s="29"/>
      <c r="B58" s="29"/>
      <c r="C58" s="32"/>
      <c r="D58" s="29"/>
      <c r="E58" s="34"/>
      <c r="F58" s="29"/>
      <c r="G58" s="45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</row>
    <row r="59" spans="1:18" x14ac:dyDescent="0.2">
      <c r="A59" s="29"/>
      <c r="B59" s="29"/>
      <c r="C59" s="32"/>
      <c r="D59" s="29"/>
      <c r="E59" s="34"/>
      <c r="F59" s="29"/>
      <c r="G59" s="45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</row>
    <row r="60" spans="1:18" x14ac:dyDescent="0.2">
      <c r="A60" s="29"/>
      <c r="B60" s="29"/>
      <c r="C60" s="32"/>
      <c r="D60" s="29"/>
      <c r="E60" s="34"/>
      <c r="F60" s="29"/>
      <c r="G60" s="45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</row>
    <row r="61" spans="1:18" x14ac:dyDescent="0.2">
      <c r="A61" s="29"/>
      <c r="B61" s="29"/>
      <c r="C61" s="32"/>
      <c r="D61" s="29"/>
      <c r="E61" s="34"/>
      <c r="F61" s="29"/>
      <c r="G61" s="45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</row>
    <row r="62" spans="1:18" x14ac:dyDescent="0.2">
      <c r="A62" s="29"/>
      <c r="B62" s="29"/>
      <c r="C62" s="32"/>
      <c r="D62" s="29"/>
      <c r="E62" s="34"/>
      <c r="F62" s="29"/>
      <c r="G62" s="45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</row>
    <row r="63" spans="1:18" x14ac:dyDescent="0.2">
      <c r="A63" s="29"/>
      <c r="B63" s="29"/>
      <c r="C63" s="32"/>
      <c r="D63" s="29"/>
      <c r="E63" s="34"/>
      <c r="F63" s="29"/>
      <c r="G63" s="45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</row>
    <row r="64" spans="1:18" x14ac:dyDescent="0.2">
      <c r="A64" s="29"/>
      <c r="B64" s="29"/>
      <c r="C64" s="32"/>
      <c r="D64" s="29"/>
      <c r="E64" s="34"/>
      <c r="F64" s="29"/>
      <c r="G64" s="45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</row>
    <row r="65" spans="1:18" x14ac:dyDescent="0.2">
      <c r="A65" s="29"/>
      <c r="B65" s="29"/>
      <c r="C65" s="32"/>
      <c r="D65" s="29"/>
      <c r="E65" s="34"/>
      <c r="F65" s="29"/>
      <c r="G65" s="45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</row>
    <row r="66" spans="1:18" x14ac:dyDescent="0.2">
      <c r="A66" s="29"/>
      <c r="B66" s="29"/>
      <c r="C66" s="32"/>
      <c r="D66" s="29"/>
      <c r="E66" s="34"/>
      <c r="F66" s="29"/>
      <c r="G66" s="45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</row>
    <row r="67" spans="1:18" x14ac:dyDescent="0.2">
      <c r="A67" s="29"/>
      <c r="B67" s="29"/>
      <c r="C67" s="32"/>
      <c r="D67" s="29"/>
      <c r="E67" s="34"/>
      <c r="F67" s="29"/>
      <c r="G67" s="45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</row>
    <row r="68" spans="1:18" x14ac:dyDescent="0.2">
      <c r="A68" s="29"/>
      <c r="B68" s="29"/>
      <c r="C68" s="32"/>
      <c r="D68" s="29"/>
      <c r="E68" s="34"/>
      <c r="F68" s="29"/>
      <c r="G68" s="45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</row>
    <row r="69" spans="1:18" x14ac:dyDescent="0.2">
      <c r="A69" s="29"/>
      <c r="B69" s="29"/>
      <c r="C69" s="32"/>
      <c r="D69" s="29"/>
      <c r="E69" s="34"/>
      <c r="F69" s="29"/>
      <c r="G69" s="45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</row>
    <row r="70" spans="1:18" x14ac:dyDescent="0.2">
      <c r="A70" s="29"/>
      <c r="B70" s="29"/>
      <c r="C70" s="32"/>
      <c r="D70" s="29"/>
      <c r="E70" s="34"/>
      <c r="F70" s="29"/>
      <c r="G70" s="45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</row>
    <row r="71" spans="1:18" x14ac:dyDescent="0.2">
      <c r="A71" s="29"/>
      <c r="B71" s="29"/>
      <c r="C71" s="32"/>
      <c r="D71" s="29"/>
      <c r="E71" s="34"/>
      <c r="F71" s="29"/>
      <c r="G71" s="45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</row>
    <row r="72" spans="1:18" x14ac:dyDescent="0.2">
      <c r="A72" s="29"/>
      <c r="B72" s="29"/>
      <c r="C72" s="32"/>
      <c r="D72" s="29"/>
      <c r="E72" s="34"/>
      <c r="F72" s="29"/>
      <c r="G72" s="45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</row>
    <row r="73" spans="1:18" x14ac:dyDescent="0.2">
      <c r="A73" s="29"/>
      <c r="B73" s="29"/>
      <c r="C73" s="32"/>
      <c r="D73" s="29"/>
      <c r="E73" s="34"/>
      <c r="F73" s="29"/>
      <c r="G73" s="45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</row>
    <row r="74" spans="1:18" x14ac:dyDescent="0.2">
      <c r="A74" s="29"/>
      <c r="B74" s="29"/>
      <c r="C74" s="32"/>
      <c r="D74" s="29"/>
      <c r="E74" s="34"/>
      <c r="F74" s="29"/>
      <c r="G74" s="45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</row>
    <row r="75" spans="1:18" x14ac:dyDescent="0.2">
      <c r="A75" s="29"/>
      <c r="B75" s="29"/>
      <c r="C75" s="32"/>
      <c r="D75" s="29"/>
      <c r="E75" s="34"/>
      <c r="F75" s="29"/>
      <c r="G75" s="45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</row>
    <row r="76" spans="1:18" x14ac:dyDescent="0.2">
      <c r="A76" s="29"/>
      <c r="B76" s="29"/>
      <c r="C76" s="32"/>
      <c r="D76" s="29"/>
      <c r="E76" s="34"/>
      <c r="F76" s="29"/>
      <c r="G76" s="45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</row>
    <row r="77" spans="1:18" x14ac:dyDescent="0.2">
      <c r="A77" s="29"/>
      <c r="B77" s="29"/>
      <c r="C77" s="32"/>
      <c r="D77" s="29"/>
      <c r="E77" s="34"/>
      <c r="F77" s="29"/>
      <c r="G77" s="45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</row>
    <row r="78" spans="1:18" x14ac:dyDescent="0.2">
      <c r="A78" s="29"/>
      <c r="B78" s="29"/>
      <c r="C78" s="32"/>
      <c r="D78" s="29"/>
      <c r="E78" s="34"/>
      <c r="F78" s="29"/>
      <c r="G78" s="45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</row>
    <row r="79" spans="1:18" x14ac:dyDescent="0.2">
      <c r="A79" s="29"/>
      <c r="B79" s="29"/>
      <c r="C79" s="32"/>
      <c r="D79" s="29"/>
      <c r="E79" s="34"/>
      <c r="F79" s="29"/>
      <c r="G79" s="45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</row>
    <row r="80" spans="1:18" x14ac:dyDescent="0.2">
      <c r="A80" s="29"/>
      <c r="B80" s="29"/>
      <c r="C80" s="32"/>
      <c r="D80" s="29"/>
      <c r="E80" s="34"/>
      <c r="F80" s="29"/>
      <c r="G80" s="45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</row>
    <row r="81" spans="1:18" x14ac:dyDescent="0.2">
      <c r="A81" s="29"/>
      <c r="B81" s="29"/>
      <c r="C81" s="32"/>
      <c r="D81" s="29"/>
      <c r="E81" s="34"/>
      <c r="F81" s="29"/>
      <c r="G81" s="45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</row>
    <row r="82" spans="1:18" x14ac:dyDescent="0.2">
      <c r="A82" s="29"/>
      <c r="B82" s="29"/>
      <c r="C82" s="32"/>
      <c r="D82" s="29"/>
      <c r="E82" s="34"/>
      <c r="F82" s="29"/>
      <c r="G82" s="45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</row>
    <row r="83" spans="1:18" x14ac:dyDescent="0.2">
      <c r="A83" s="29"/>
      <c r="B83" s="29"/>
      <c r="C83" s="32"/>
      <c r="D83" s="29"/>
      <c r="E83" s="34"/>
      <c r="F83" s="29"/>
      <c r="G83" s="45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</row>
    <row r="84" spans="1:18" x14ac:dyDescent="0.2">
      <c r="A84" s="29"/>
      <c r="B84" s="29"/>
      <c r="C84" s="32"/>
      <c r="D84" s="29"/>
      <c r="E84" s="34"/>
      <c r="F84" s="29"/>
      <c r="G84" s="45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</row>
    <row r="85" spans="1:18" x14ac:dyDescent="0.2">
      <c r="A85" s="29"/>
      <c r="B85" s="29"/>
      <c r="C85" s="32"/>
      <c r="D85" s="29"/>
      <c r="E85" s="34"/>
      <c r="F85" s="29"/>
      <c r="G85" s="45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</row>
    <row r="86" spans="1:18" x14ac:dyDescent="0.2">
      <c r="A86" s="29"/>
      <c r="B86" s="29"/>
      <c r="C86" s="32"/>
      <c r="D86" s="29"/>
      <c r="E86" s="34"/>
      <c r="F86" s="29"/>
      <c r="G86" s="45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</row>
    <row r="87" spans="1:18" x14ac:dyDescent="0.2">
      <c r="A87" s="29"/>
      <c r="B87" s="29"/>
      <c r="C87" s="32"/>
      <c r="D87" s="29"/>
      <c r="E87" s="34"/>
      <c r="F87" s="29"/>
      <c r="G87" s="45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</row>
    <row r="88" spans="1:18" x14ac:dyDescent="0.2">
      <c r="A88" s="29"/>
      <c r="B88" s="29"/>
      <c r="C88" s="32"/>
      <c r="D88" s="29"/>
      <c r="E88" s="34"/>
      <c r="F88" s="29"/>
      <c r="G88" s="45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</row>
    <row r="89" spans="1:18" x14ac:dyDescent="0.2">
      <c r="A89" s="29"/>
      <c r="B89" s="29"/>
      <c r="C89" s="32"/>
      <c r="D89" s="29"/>
      <c r="E89" s="34"/>
      <c r="F89" s="29"/>
      <c r="G89" s="45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</row>
    <row r="90" spans="1:18" x14ac:dyDescent="0.2">
      <c r="A90" s="29"/>
      <c r="B90" s="29"/>
      <c r="C90" s="32"/>
      <c r="D90" s="29"/>
      <c r="E90" s="34"/>
      <c r="F90" s="29"/>
      <c r="G90" s="45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</row>
    <row r="91" spans="1:18" x14ac:dyDescent="0.2">
      <c r="A91" s="29"/>
      <c r="B91" s="29"/>
      <c r="C91" s="32"/>
      <c r="D91" s="29"/>
      <c r="E91" s="34"/>
      <c r="F91" s="29"/>
      <c r="G91" s="45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</row>
    <row r="92" spans="1:18" x14ac:dyDescent="0.2">
      <c r="A92" s="29"/>
      <c r="B92" s="29"/>
      <c r="C92" s="32"/>
      <c r="D92" s="29"/>
      <c r="E92" s="34"/>
      <c r="F92" s="29"/>
      <c r="G92" s="45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</row>
    <row r="93" spans="1:18" x14ac:dyDescent="0.2">
      <c r="A93" s="29"/>
      <c r="B93" s="29"/>
      <c r="C93" s="32"/>
      <c r="D93" s="29"/>
      <c r="E93" s="34"/>
      <c r="F93" s="29"/>
      <c r="G93" s="45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</row>
    <row r="94" spans="1:18" x14ac:dyDescent="0.2">
      <c r="A94" s="29"/>
      <c r="B94" s="29"/>
      <c r="C94" s="32"/>
      <c r="D94" s="29"/>
      <c r="E94" s="34"/>
      <c r="F94" s="29"/>
      <c r="G94" s="45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</row>
    <row r="95" spans="1:18" x14ac:dyDescent="0.2">
      <c r="A95" s="29"/>
      <c r="B95" s="29"/>
      <c r="C95" s="32"/>
      <c r="D95" s="29"/>
      <c r="E95" s="34"/>
      <c r="F95" s="29"/>
      <c r="G95" s="45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</row>
    <row r="96" spans="1:18" x14ac:dyDescent="0.2">
      <c r="A96" s="29"/>
      <c r="B96" s="29"/>
      <c r="C96" s="32"/>
      <c r="D96" s="29"/>
      <c r="E96" s="34"/>
      <c r="F96" s="29"/>
      <c r="G96" s="45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</row>
    <row r="97" spans="1:18" x14ac:dyDescent="0.2">
      <c r="A97" s="29"/>
      <c r="B97" s="29"/>
      <c r="C97" s="32"/>
      <c r="D97" s="29"/>
      <c r="E97" s="34"/>
      <c r="F97" s="29"/>
      <c r="G97" s="45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</row>
    <row r="98" spans="1:18" x14ac:dyDescent="0.2">
      <c r="A98" s="29"/>
      <c r="B98" s="29"/>
      <c r="C98" s="32"/>
      <c r="D98" s="29"/>
      <c r="E98" s="34"/>
      <c r="F98" s="29"/>
      <c r="G98" s="45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</row>
    <row r="99" spans="1:18" x14ac:dyDescent="0.2">
      <c r="A99" s="29"/>
      <c r="B99" s="29"/>
      <c r="C99" s="32"/>
      <c r="D99" s="29"/>
      <c r="E99" s="34"/>
      <c r="F99" s="29"/>
      <c r="G99" s="45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</row>
    <row r="100" spans="1:18" x14ac:dyDescent="0.2">
      <c r="A100" s="29"/>
      <c r="B100" s="29"/>
      <c r="C100" s="32"/>
      <c r="D100" s="29"/>
      <c r="E100" s="34"/>
      <c r="F100" s="29"/>
      <c r="G100" s="45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</row>
    <row r="101" spans="1:18" x14ac:dyDescent="0.2">
      <c r="A101" s="29"/>
      <c r="B101" s="29"/>
      <c r="C101" s="32"/>
      <c r="D101" s="29"/>
      <c r="E101" s="34"/>
      <c r="F101" s="29"/>
      <c r="G101" s="45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</row>
    <row r="102" spans="1:18" x14ac:dyDescent="0.2">
      <c r="A102" s="29"/>
      <c r="B102" s="29"/>
      <c r="C102" s="32"/>
      <c r="D102" s="29"/>
      <c r="E102" s="34"/>
      <c r="F102" s="29"/>
      <c r="G102" s="45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</row>
    <row r="103" spans="1:18" x14ac:dyDescent="0.2">
      <c r="A103" s="29"/>
      <c r="B103" s="29"/>
      <c r="C103" s="32"/>
      <c r="D103" s="29"/>
      <c r="E103" s="34"/>
      <c r="F103" s="29"/>
      <c r="G103" s="45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</row>
    <row r="104" spans="1:18" x14ac:dyDescent="0.2">
      <c r="A104" s="29"/>
      <c r="B104" s="29"/>
      <c r="C104" s="32"/>
      <c r="D104" s="29"/>
      <c r="E104" s="34"/>
      <c r="F104" s="29"/>
      <c r="G104" s="45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</row>
    <row r="105" spans="1:18" x14ac:dyDescent="0.2">
      <c r="A105" s="29"/>
      <c r="B105" s="29"/>
      <c r="C105" s="32"/>
      <c r="D105" s="29"/>
      <c r="E105" s="34"/>
      <c r="F105" s="29"/>
      <c r="G105" s="45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</row>
    <row r="106" spans="1:18" x14ac:dyDescent="0.2">
      <c r="A106" s="29"/>
      <c r="B106" s="29"/>
      <c r="C106" s="32"/>
      <c r="D106" s="29"/>
      <c r="E106" s="34"/>
      <c r="F106" s="29"/>
      <c r="G106" s="45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</row>
    <row r="107" spans="1:18" x14ac:dyDescent="0.2">
      <c r="A107" s="29"/>
      <c r="B107" s="29"/>
      <c r="C107" s="32"/>
      <c r="D107" s="29"/>
      <c r="E107" s="34"/>
      <c r="F107" s="29"/>
      <c r="G107" s="45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</row>
    <row r="108" spans="1:18" x14ac:dyDescent="0.2">
      <c r="A108" s="29"/>
      <c r="B108" s="29"/>
      <c r="C108" s="32"/>
      <c r="D108" s="29"/>
      <c r="E108" s="34"/>
      <c r="F108" s="29"/>
      <c r="G108" s="45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</row>
    <row r="109" spans="1:18" x14ac:dyDescent="0.2">
      <c r="A109" s="29"/>
      <c r="B109" s="29"/>
      <c r="C109" s="32"/>
      <c r="D109" s="29"/>
      <c r="E109" s="34"/>
      <c r="F109" s="29"/>
      <c r="G109" s="45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</row>
    <row r="110" spans="1:18" x14ac:dyDescent="0.2">
      <c r="A110" s="29"/>
      <c r="B110" s="29"/>
      <c r="C110" s="32"/>
      <c r="D110" s="29"/>
      <c r="E110" s="34"/>
      <c r="F110" s="29"/>
      <c r="G110" s="45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</row>
    <row r="111" spans="1:18" x14ac:dyDescent="0.2">
      <c r="A111" s="29"/>
      <c r="B111" s="29"/>
      <c r="C111" s="32"/>
      <c r="D111" s="29"/>
      <c r="E111" s="34"/>
      <c r="F111" s="29"/>
      <c r="G111" s="45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</row>
    <row r="112" spans="1:18" x14ac:dyDescent="0.2">
      <c r="A112" s="29"/>
      <c r="B112" s="29"/>
      <c r="C112" s="32"/>
      <c r="D112" s="29"/>
      <c r="E112" s="34"/>
      <c r="F112" s="29"/>
      <c r="G112" s="45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</row>
    <row r="113" spans="1:18" x14ac:dyDescent="0.2">
      <c r="A113" s="29"/>
      <c r="B113" s="29"/>
      <c r="C113" s="32"/>
      <c r="D113" s="29"/>
      <c r="E113" s="34"/>
      <c r="F113" s="29"/>
      <c r="G113" s="45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</row>
    <row r="114" spans="1:18" x14ac:dyDescent="0.2">
      <c r="A114" s="29"/>
      <c r="B114" s="29"/>
      <c r="C114" s="32"/>
      <c r="D114" s="29"/>
      <c r="E114" s="34"/>
      <c r="F114" s="29"/>
      <c r="G114" s="45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</row>
    <row r="115" spans="1:18" x14ac:dyDescent="0.2">
      <c r="A115" s="29"/>
      <c r="B115" s="29"/>
      <c r="C115" s="32"/>
      <c r="D115" s="29"/>
      <c r="E115" s="34"/>
      <c r="F115" s="29"/>
      <c r="G115" s="45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</row>
    <row r="116" spans="1:18" x14ac:dyDescent="0.2">
      <c r="A116" s="29"/>
      <c r="B116" s="29"/>
      <c r="C116" s="32"/>
      <c r="D116" s="29"/>
      <c r="E116" s="34"/>
      <c r="F116" s="29"/>
      <c r="G116" s="45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</row>
    <row r="117" spans="1:18" x14ac:dyDescent="0.2">
      <c r="A117" s="29"/>
      <c r="B117" s="29"/>
      <c r="C117" s="32"/>
      <c r="D117" s="29"/>
      <c r="E117" s="34"/>
      <c r="F117" s="29"/>
      <c r="G117" s="45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</row>
    <row r="118" spans="1:18" x14ac:dyDescent="0.2">
      <c r="A118" s="29"/>
      <c r="B118" s="29"/>
      <c r="C118" s="32"/>
      <c r="D118" s="29"/>
      <c r="E118" s="34"/>
      <c r="F118" s="29"/>
      <c r="G118" s="45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</row>
    <row r="119" spans="1:18" x14ac:dyDescent="0.2">
      <c r="A119" s="29"/>
      <c r="B119" s="29"/>
      <c r="C119" s="32"/>
      <c r="D119" s="29"/>
      <c r="E119" s="34"/>
      <c r="F119" s="29"/>
      <c r="G119" s="45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</row>
    <row r="120" spans="1:18" x14ac:dyDescent="0.2">
      <c r="A120" s="29"/>
      <c r="B120" s="29"/>
      <c r="C120" s="32"/>
      <c r="D120" s="29"/>
      <c r="E120" s="34"/>
      <c r="F120" s="29"/>
      <c r="G120" s="45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</row>
    <row r="121" spans="1:18" x14ac:dyDescent="0.2">
      <c r="A121" s="29"/>
      <c r="B121" s="29"/>
      <c r="C121" s="32"/>
      <c r="D121" s="29"/>
      <c r="E121" s="34"/>
      <c r="F121" s="29"/>
      <c r="G121" s="45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</row>
    <row r="122" spans="1:18" x14ac:dyDescent="0.2">
      <c r="A122" s="29"/>
      <c r="B122" s="29"/>
      <c r="C122" s="32"/>
      <c r="D122" s="29"/>
      <c r="E122" s="34"/>
      <c r="F122" s="29"/>
      <c r="G122" s="45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</row>
    <row r="123" spans="1:18" x14ac:dyDescent="0.2">
      <c r="A123" s="29"/>
      <c r="B123" s="29"/>
      <c r="C123" s="32"/>
      <c r="D123" s="29"/>
      <c r="E123" s="34"/>
      <c r="F123" s="29"/>
      <c r="G123" s="45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</row>
    <row r="124" spans="1:18" x14ac:dyDescent="0.2">
      <c r="A124" s="29"/>
      <c r="B124" s="29"/>
      <c r="C124" s="32"/>
      <c r="D124" s="29"/>
      <c r="E124" s="34"/>
      <c r="F124" s="29"/>
      <c r="G124" s="45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</row>
    <row r="125" spans="1:18" x14ac:dyDescent="0.2">
      <c r="A125" s="29"/>
      <c r="B125" s="29"/>
      <c r="C125" s="32"/>
      <c r="D125" s="29"/>
      <c r="E125" s="34"/>
      <c r="F125" s="29"/>
      <c r="G125" s="45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</row>
    <row r="126" spans="1:18" x14ac:dyDescent="0.2">
      <c r="A126" s="29"/>
      <c r="B126" s="29"/>
      <c r="C126" s="32"/>
      <c r="D126" s="29"/>
      <c r="E126" s="34"/>
      <c r="F126" s="29"/>
      <c r="G126" s="45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</row>
    <row r="127" spans="1:18" x14ac:dyDescent="0.2">
      <c r="A127" s="29"/>
      <c r="B127" s="29"/>
      <c r="C127" s="32"/>
      <c r="D127" s="29"/>
      <c r="E127" s="34"/>
      <c r="F127" s="29"/>
      <c r="G127" s="45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</row>
    <row r="128" spans="1:18" x14ac:dyDescent="0.2">
      <c r="A128" s="29"/>
      <c r="B128" s="29"/>
      <c r="C128" s="32"/>
      <c r="D128" s="29"/>
      <c r="E128" s="34"/>
      <c r="F128" s="29"/>
      <c r="G128" s="45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</row>
    <row r="129" spans="1:18" x14ac:dyDescent="0.2">
      <c r="A129" s="29"/>
      <c r="B129" s="29"/>
      <c r="C129" s="32"/>
      <c r="D129" s="29"/>
      <c r="E129" s="34"/>
      <c r="F129" s="29"/>
      <c r="G129" s="45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</row>
    <row r="130" spans="1:18" x14ac:dyDescent="0.2">
      <c r="A130" s="29"/>
      <c r="B130" s="29"/>
      <c r="C130" s="32"/>
      <c r="D130" s="29"/>
      <c r="E130" s="34"/>
      <c r="F130" s="29"/>
      <c r="G130" s="45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</row>
    <row r="131" spans="1:18" x14ac:dyDescent="0.2">
      <c r="A131" s="29"/>
      <c r="B131" s="29"/>
      <c r="C131" s="32"/>
      <c r="D131" s="29"/>
      <c r="E131" s="34"/>
      <c r="F131" s="29"/>
      <c r="G131" s="45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</row>
    <row r="132" spans="1:18" x14ac:dyDescent="0.2">
      <c r="A132" s="29"/>
      <c r="B132" s="29"/>
      <c r="C132" s="32"/>
      <c r="D132" s="29"/>
      <c r="E132" s="34"/>
      <c r="F132" s="29"/>
      <c r="G132" s="45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</row>
    <row r="133" spans="1:18" x14ac:dyDescent="0.2">
      <c r="A133" s="29"/>
      <c r="B133" s="29"/>
      <c r="C133" s="32"/>
      <c r="D133" s="29"/>
      <c r="E133" s="34"/>
      <c r="F133" s="29"/>
      <c r="G133" s="45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</row>
    <row r="134" spans="1:18" x14ac:dyDescent="0.2">
      <c r="A134" s="29"/>
      <c r="B134" s="29"/>
      <c r="C134" s="32"/>
      <c r="D134" s="29"/>
      <c r="E134" s="34"/>
      <c r="F134" s="29"/>
      <c r="G134" s="45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</row>
    <row r="135" spans="1:18" x14ac:dyDescent="0.2">
      <c r="A135" s="29"/>
      <c r="B135" s="29"/>
      <c r="C135" s="32"/>
      <c r="D135" s="29"/>
      <c r="E135" s="34"/>
      <c r="F135" s="29"/>
      <c r="G135" s="45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</row>
    <row r="136" spans="1:18" x14ac:dyDescent="0.2">
      <c r="A136" s="29"/>
      <c r="B136" s="29"/>
      <c r="C136" s="32"/>
      <c r="D136" s="29"/>
      <c r="E136" s="34"/>
      <c r="F136" s="29"/>
      <c r="G136" s="45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</row>
    <row r="137" spans="1:18" x14ac:dyDescent="0.2">
      <c r="A137" s="29"/>
      <c r="B137" s="29"/>
      <c r="C137" s="32"/>
      <c r="D137" s="29"/>
      <c r="E137" s="34"/>
      <c r="F137" s="29"/>
      <c r="G137" s="45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</row>
    <row r="138" spans="1:18" x14ac:dyDescent="0.2">
      <c r="A138" s="29"/>
      <c r="B138" s="29"/>
      <c r="C138" s="32"/>
      <c r="D138" s="29"/>
      <c r="E138" s="34"/>
      <c r="F138" s="29"/>
      <c r="G138" s="45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</row>
    <row r="139" spans="1:18" x14ac:dyDescent="0.2">
      <c r="A139" s="29"/>
      <c r="B139" s="29"/>
      <c r="C139" s="32"/>
      <c r="D139" s="29"/>
      <c r="E139" s="34"/>
      <c r="F139" s="29"/>
      <c r="G139" s="45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</row>
    <row r="140" spans="1:18" x14ac:dyDescent="0.2">
      <c r="A140" s="29"/>
      <c r="B140" s="29"/>
      <c r="C140" s="32"/>
      <c r="D140" s="29"/>
      <c r="E140" s="34"/>
      <c r="F140" s="29"/>
      <c r="G140" s="45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</row>
    <row r="141" spans="1:18" x14ac:dyDescent="0.2">
      <c r="A141" s="29"/>
      <c r="B141" s="29"/>
      <c r="C141" s="32"/>
      <c r="D141" s="29"/>
      <c r="E141" s="34"/>
      <c r="F141" s="29"/>
      <c r="G141" s="45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</row>
    <row r="142" spans="1:18" x14ac:dyDescent="0.2">
      <c r="A142" s="29"/>
      <c r="B142" s="29"/>
      <c r="C142" s="32"/>
      <c r="D142" s="29"/>
      <c r="E142" s="34"/>
      <c r="F142" s="29"/>
      <c r="G142" s="45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</row>
    <row r="143" spans="1:18" x14ac:dyDescent="0.2">
      <c r="A143" s="29"/>
      <c r="B143" s="29"/>
      <c r="C143" s="32"/>
      <c r="D143" s="29"/>
      <c r="E143" s="34"/>
      <c r="F143" s="29"/>
      <c r="G143" s="45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</row>
    <row r="144" spans="1:18" x14ac:dyDescent="0.2">
      <c r="A144" s="29"/>
      <c r="B144" s="29"/>
      <c r="C144" s="32"/>
      <c r="D144" s="29"/>
      <c r="E144" s="34"/>
      <c r="F144" s="29"/>
      <c r="G144" s="45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</row>
    <row r="145" spans="1:18" x14ac:dyDescent="0.2">
      <c r="A145" s="29"/>
      <c r="B145" s="29"/>
      <c r="C145" s="32"/>
      <c r="D145" s="29"/>
      <c r="E145" s="34"/>
      <c r="F145" s="29"/>
      <c r="G145" s="45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</row>
    <row r="146" spans="1:18" x14ac:dyDescent="0.2">
      <c r="A146" s="29"/>
      <c r="B146" s="29"/>
      <c r="C146" s="32"/>
      <c r="D146" s="29"/>
      <c r="E146" s="34"/>
      <c r="F146" s="29"/>
      <c r="G146" s="45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</row>
    <row r="147" spans="1:18" x14ac:dyDescent="0.2">
      <c r="A147" s="29"/>
      <c r="B147" s="29"/>
      <c r="C147" s="32"/>
      <c r="D147" s="29"/>
      <c r="E147" s="34"/>
      <c r="F147" s="29"/>
      <c r="G147" s="45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</row>
    <row r="148" spans="1:18" x14ac:dyDescent="0.2">
      <c r="A148" s="29"/>
      <c r="B148" s="29"/>
      <c r="C148" s="32"/>
      <c r="D148" s="29"/>
      <c r="E148" s="34"/>
      <c r="F148" s="29"/>
      <c r="G148" s="45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</row>
    <row r="149" spans="1:18" x14ac:dyDescent="0.2">
      <c r="A149" s="29"/>
      <c r="B149" s="29"/>
      <c r="C149" s="32"/>
      <c r="D149" s="29"/>
      <c r="E149" s="34"/>
      <c r="F149" s="29"/>
      <c r="G149" s="45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</row>
    <row r="150" spans="1:18" x14ac:dyDescent="0.2">
      <c r="A150" s="29"/>
      <c r="B150" s="29"/>
      <c r="C150" s="32"/>
      <c r="D150" s="29"/>
      <c r="E150" s="34"/>
      <c r="F150" s="29"/>
      <c r="G150" s="45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</row>
    <row r="151" spans="1:18" x14ac:dyDescent="0.2">
      <c r="A151" s="29"/>
      <c r="B151" s="29"/>
      <c r="C151" s="32"/>
      <c r="D151" s="29"/>
      <c r="E151" s="34"/>
      <c r="F151" s="29"/>
      <c r="G151" s="45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</row>
    <row r="152" spans="1:18" x14ac:dyDescent="0.2">
      <c r="A152" s="29"/>
      <c r="B152" s="29"/>
      <c r="C152" s="32"/>
      <c r="D152" s="29"/>
      <c r="E152" s="34"/>
      <c r="F152" s="29"/>
      <c r="G152" s="45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</row>
    <row r="153" spans="1:18" x14ac:dyDescent="0.2">
      <c r="A153" s="29"/>
      <c r="B153" s="29"/>
      <c r="C153" s="32"/>
      <c r="D153" s="29"/>
      <c r="E153" s="34"/>
      <c r="F153" s="29"/>
      <c r="G153" s="45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</row>
    <row r="154" spans="1:18" x14ac:dyDescent="0.2">
      <c r="A154" s="29"/>
      <c r="B154" s="29"/>
      <c r="C154" s="32"/>
      <c r="D154" s="29"/>
      <c r="E154" s="34"/>
      <c r="F154" s="29"/>
      <c r="G154" s="45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</row>
    <row r="155" spans="1:18" x14ac:dyDescent="0.2">
      <c r="A155" s="29"/>
      <c r="B155" s="29"/>
      <c r="C155" s="32"/>
      <c r="D155" s="29"/>
      <c r="E155" s="34"/>
      <c r="F155" s="29"/>
      <c r="G155" s="45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</row>
    <row r="156" spans="1:18" x14ac:dyDescent="0.2">
      <c r="A156" s="29"/>
      <c r="B156" s="29"/>
      <c r="C156" s="32"/>
      <c r="D156" s="29"/>
      <c r="E156" s="34"/>
      <c r="F156" s="29"/>
      <c r="G156" s="45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</row>
    <row r="157" spans="1:18" x14ac:dyDescent="0.2">
      <c r="A157" s="29"/>
      <c r="B157" s="29"/>
      <c r="C157" s="32"/>
      <c r="D157" s="29"/>
      <c r="E157" s="34"/>
      <c r="F157" s="29"/>
      <c r="G157" s="45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</row>
    <row r="158" spans="1:18" x14ac:dyDescent="0.2">
      <c r="A158" s="29"/>
      <c r="B158" s="29"/>
      <c r="C158" s="32"/>
      <c r="D158" s="29"/>
      <c r="E158" s="34"/>
      <c r="F158" s="29"/>
      <c r="G158" s="45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</row>
    <row r="159" spans="1:18" x14ac:dyDescent="0.2">
      <c r="A159" s="29"/>
      <c r="B159" s="29"/>
      <c r="C159" s="32"/>
      <c r="D159" s="29"/>
      <c r="E159" s="34"/>
      <c r="F159" s="29"/>
      <c r="G159" s="45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</row>
    <row r="160" spans="1:18" x14ac:dyDescent="0.2">
      <c r="A160" s="29"/>
      <c r="B160" s="29"/>
      <c r="C160" s="32"/>
      <c r="D160" s="29"/>
      <c r="E160" s="34"/>
      <c r="F160" s="29"/>
      <c r="G160" s="45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</row>
    <row r="161" spans="1:18" x14ac:dyDescent="0.2">
      <c r="A161" s="29"/>
      <c r="B161" s="29"/>
      <c r="C161" s="32"/>
      <c r="D161" s="29"/>
      <c r="E161" s="34"/>
      <c r="F161" s="29"/>
      <c r="G161" s="45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</row>
    <row r="162" spans="1:18" x14ac:dyDescent="0.2">
      <c r="A162" s="29"/>
      <c r="B162" s="29"/>
      <c r="C162" s="32"/>
      <c r="D162" s="29"/>
      <c r="E162" s="34"/>
      <c r="F162" s="29"/>
      <c r="G162" s="45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</row>
    <row r="163" spans="1:18" x14ac:dyDescent="0.2">
      <c r="A163" s="29"/>
      <c r="B163" s="29"/>
      <c r="C163" s="32"/>
      <c r="D163" s="29"/>
      <c r="E163" s="34"/>
      <c r="F163" s="29"/>
      <c r="G163" s="45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</row>
    <row r="164" spans="1:18" x14ac:dyDescent="0.2">
      <c r="A164" s="29"/>
      <c r="B164" s="29"/>
      <c r="C164" s="32"/>
      <c r="D164" s="29"/>
      <c r="E164" s="34"/>
      <c r="F164" s="29"/>
      <c r="G164" s="45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</row>
    <row r="165" spans="1:18" x14ac:dyDescent="0.2">
      <c r="A165" s="29"/>
      <c r="B165" s="29"/>
      <c r="C165" s="32"/>
      <c r="D165" s="29"/>
      <c r="E165" s="34"/>
      <c r="F165" s="29"/>
      <c r="G165" s="45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</row>
    <row r="166" spans="1:18" x14ac:dyDescent="0.2">
      <c r="A166" s="29"/>
      <c r="B166" s="29"/>
      <c r="C166" s="32"/>
      <c r="D166" s="29"/>
      <c r="E166" s="34"/>
      <c r="F166" s="29"/>
      <c r="G166" s="45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</row>
    <row r="167" spans="1:18" x14ac:dyDescent="0.2">
      <c r="A167" s="29"/>
      <c r="B167" s="29"/>
      <c r="C167" s="32"/>
      <c r="D167" s="29"/>
      <c r="E167" s="34"/>
      <c r="F167" s="29"/>
      <c r="G167" s="45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</row>
    <row r="168" spans="1:18" x14ac:dyDescent="0.2">
      <c r="A168" s="29"/>
      <c r="B168" s="29"/>
      <c r="C168" s="32"/>
      <c r="D168" s="29"/>
      <c r="E168" s="34"/>
      <c r="F168" s="29"/>
      <c r="G168" s="45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</row>
    <row r="169" spans="1:18" x14ac:dyDescent="0.2">
      <c r="A169" s="29"/>
      <c r="B169" s="29"/>
      <c r="C169" s="32"/>
      <c r="D169" s="29"/>
      <c r="E169" s="34"/>
      <c r="F169" s="29"/>
      <c r="G169" s="45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</row>
    <row r="170" spans="1:18" x14ac:dyDescent="0.2">
      <c r="A170" s="29"/>
      <c r="B170" s="29"/>
      <c r="C170" s="32"/>
      <c r="D170" s="29"/>
      <c r="E170" s="34"/>
      <c r="F170" s="29"/>
      <c r="G170" s="45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</row>
    <row r="171" spans="1:18" x14ac:dyDescent="0.2">
      <c r="A171" s="29"/>
      <c r="B171" s="29"/>
      <c r="C171" s="32"/>
      <c r="D171" s="29"/>
      <c r="E171" s="34"/>
      <c r="F171" s="29"/>
      <c r="G171" s="45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</row>
    <row r="172" spans="1:18" x14ac:dyDescent="0.2">
      <c r="A172" s="29"/>
      <c r="B172" s="29"/>
      <c r="C172" s="32"/>
      <c r="D172" s="29"/>
      <c r="E172" s="34"/>
      <c r="F172" s="29"/>
      <c r="G172" s="45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</row>
    <row r="173" spans="1:18" x14ac:dyDescent="0.2">
      <c r="A173" s="29"/>
      <c r="B173" s="29"/>
      <c r="C173" s="32"/>
      <c r="D173" s="29"/>
      <c r="E173" s="34"/>
      <c r="F173" s="29"/>
      <c r="G173" s="45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</row>
    <row r="174" spans="1:18" x14ac:dyDescent="0.2">
      <c r="A174" s="29"/>
      <c r="B174" s="29"/>
      <c r="C174" s="32"/>
      <c r="D174" s="29"/>
      <c r="E174" s="34"/>
      <c r="F174" s="29"/>
      <c r="G174" s="45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</row>
    <row r="175" spans="1:18" x14ac:dyDescent="0.2">
      <c r="A175" s="29"/>
      <c r="B175" s="29"/>
      <c r="C175" s="32"/>
      <c r="D175" s="29"/>
      <c r="E175" s="34"/>
      <c r="F175" s="29"/>
      <c r="G175" s="45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</row>
    <row r="176" spans="1:18" x14ac:dyDescent="0.2">
      <c r="A176" s="29"/>
      <c r="B176" s="29"/>
      <c r="C176" s="32"/>
      <c r="D176" s="29"/>
      <c r="E176" s="34"/>
      <c r="F176" s="29"/>
      <c r="G176" s="45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</row>
    <row r="177" spans="1:18" x14ac:dyDescent="0.2">
      <c r="A177" s="29"/>
      <c r="B177" s="29"/>
      <c r="C177" s="32"/>
      <c r="D177" s="29"/>
      <c r="E177" s="34"/>
      <c r="F177" s="29"/>
      <c r="G177" s="45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</row>
    <row r="178" spans="1:18" x14ac:dyDescent="0.2">
      <c r="A178" s="29"/>
      <c r="B178" s="29"/>
      <c r="C178" s="32"/>
      <c r="D178" s="29"/>
      <c r="E178" s="34"/>
      <c r="F178" s="29"/>
      <c r="G178" s="45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</row>
    <row r="179" spans="1:18" x14ac:dyDescent="0.2">
      <c r="A179" s="29"/>
      <c r="B179" s="29"/>
      <c r="C179" s="32"/>
      <c r="D179" s="29"/>
      <c r="E179" s="34"/>
      <c r="F179" s="29"/>
      <c r="G179" s="45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</row>
    <row r="180" spans="1:18" x14ac:dyDescent="0.2">
      <c r="A180" s="29"/>
      <c r="B180" s="29"/>
      <c r="C180" s="32"/>
      <c r="D180" s="29"/>
      <c r="E180" s="34"/>
      <c r="F180" s="29"/>
      <c r="G180" s="45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</row>
    <row r="181" spans="1:18" x14ac:dyDescent="0.2">
      <c r="A181" s="29"/>
      <c r="B181" s="29"/>
      <c r="C181" s="32"/>
      <c r="D181" s="29"/>
      <c r="E181" s="34"/>
      <c r="F181" s="29"/>
      <c r="G181" s="45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</row>
    <row r="182" spans="1:18" x14ac:dyDescent="0.2">
      <c r="A182" s="29"/>
      <c r="B182" s="29"/>
      <c r="C182" s="32"/>
      <c r="D182" s="29"/>
      <c r="E182" s="34"/>
      <c r="F182" s="29"/>
      <c r="G182" s="45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</row>
    <row r="183" spans="1:18" x14ac:dyDescent="0.2">
      <c r="A183" s="29"/>
      <c r="B183" s="29"/>
      <c r="C183" s="32"/>
      <c r="D183" s="29"/>
      <c r="E183" s="34"/>
      <c r="F183" s="29"/>
      <c r="G183" s="45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</row>
    <row r="184" spans="1:18" x14ac:dyDescent="0.2">
      <c r="A184" s="29"/>
      <c r="B184" s="29"/>
      <c r="C184" s="32"/>
      <c r="D184" s="29"/>
      <c r="E184" s="34"/>
      <c r="F184" s="29"/>
      <c r="G184" s="45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</row>
    <row r="185" spans="1:18" x14ac:dyDescent="0.2">
      <c r="A185" s="29"/>
      <c r="B185" s="29"/>
      <c r="C185" s="32"/>
      <c r="D185" s="29"/>
      <c r="E185" s="34"/>
      <c r="F185" s="29"/>
      <c r="G185" s="45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</row>
    <row r="186" spans="1:18" x14ac:dyDescent="0.2">
      <c r="A186" s="29"/>
      <c r="B186" s="29"/>
      <c r="C186" s="32"/>
      <c r="D186" s="29"/>
      <c r="E186" s="34"/>
      <c r="F186" s="29"/>
      <c r="G186" s="45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</row>
    <row r="187" spans="1:18" x14ac:dyDescent="0.2">
      <c r="A187" s="29"/>
      <c r="B187" s="29"/>
      <c r="C187" s="32"/>
      <c r="D187" s="29"/>
      <c r="E187" s="34"/>
      <c r="F187" s="29"/>
      <c r="G187" s="45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</row>
    <row r="188" spans="1:18" x14ac:dyDescent="0.2">
      <c r="A188" s="29"/>
      <c r="B188" s="29"/>
      <c r="C188" s="32"/>
      <c r="D188" s="29"/>
      <c r="E188" s="34"/>
      <c r="F188" s="29"/>
      <c r="G188" s="45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</row>
    <row r="189" spans="1:18" x14ac:dyDescent="0.2">
      <c r="A189" s="29"/>
      <c r="B189" s="29"/>
      <c r="C189" s="32"/>
      <c r="D189" s="29"/>
      <c r="E189" s="34"/>
      <c r="F189" s="29"/>
      <c r="G189" s="45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</row>
    <row r="190" spans="1:18" x14ac:dyDescent="0.2">
      <c r="A190" s="29"/>
      <c r="B190" s="29"/>
      <c r="C190" s="32"/>
      <c r="D190" s="29"/>
      <c r="E190" s="34"/>
      <c r="F190" s="29"/>
      <c r="G190" s="45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</row>
    <row r="191" spans="1:18" x14ac:dyDescent="0.2">
      <c r="A191" s="29"/>
      <c r="B191" s="29"/>
      <c r="C191" s="32"/>
      <c r="D191" s="29"/>
      <c r="E191" s="34"/>
      <c r="F191" s="29"/>
      <c r="G191" s="45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</row>
    <row r="192" spans="1:18" x14ac:dyDescent="0.2">
      <c r="A192" s="29"/>
      <c r="B192" s="29"/>
      <c r="C192" s="32"/>
      <c r="D192" s="29"/>
      <c r="E192" s="34"/>
      <c r="F192" s="29"/>
      <c r="G192" s="45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</row>
    <row r="193" spans="1:18" x14ac:dyDescent="0.2">
      <c r="A193" s="29"/>
      <c r="B193" s="29"/>
      <c r="C193" s="32"/>
      <c r="D193" s="29"/>
      <c r="E193" s="34"/>
      <c r="F193" s="29"/>
      <c r="G193" s="45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</row>
    <row r="194" spans="1:18" x14ac:dyDescent="0.2">
      <c r="A194" s="29"/>
      <c r="B194" s="29"/>
      <c r="C194" s="32"/>
      <c r="D194" s="29"/>
      <c r="E194" s="34"/>
      <c r="F194" s="29"/>
      <c r="G194" s="45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</row>
    <row r="195" spans="1:18" x14ac:dyDescent="0.2">
      <c r="A195" s="29"/>
      <c r="B195" s="29"/>
      <c r="C195" s="32"/>
      <c r="D195" s="29"/>
      <c r="E195" s="34"/>
      <c r="F195" s="29"/>
      <c r="G195" s="45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</row>
    <row r="196" spans="1:18" x14ac:dyDescent="0.2">
      <c r="A196" s="29"/>
      <c r="B196" s="29"/>
      <c r="C196" s="32"/>
      <c r="D196" s="29"/>
      <c r="E196" s="34"/>
      <c r="F196" s="29"/>
      <c r="G196" s="45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</row>
    <row r="197" spans="1:18" x14ac:dyDescent="0.2">
      <c r="A197" s="29"/>
      <c r="B197" s="29"/>
      <c r="C197" s="32"/>
      <c r="D197" s="29"/>
      <c r="E197" s="34"/>
      <c r="F197" s="29"/>
      <c r="G197" s="45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</row>
    <row r="198" spans="1:18" x14ac:dyDescent="0.2">
      <c r="A198" s="29"/>
      <c r="B198" s="29"/>
      <c r="C198" s="32"/>
      <c r="D198" s="29"/>
      <c r="E198" s="34"/>
      <c r="F198" s="29"/>
      <c r="G198" s="45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</row>
    <row r="199" spans="1:18" x14ac:dyDescent="0.2">
      <c r="A199" s="29"/>
      <c r="B199" s="29"/>
      <c r="C199" s="32"/>
      <c r="D199" s="29"/>
      <c r="E199" s="34"/>
      <c r="F199" s="29"/>
      <c r="G199" s="45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</row>
    <row r="200" spans="1:18" x14ac:dyDescent="0.2">
      <c r="A200" s="29"/>
      <c r="B200" s="29"/>
      <c r="C200" s="32"/>
      <c r="D200" s="29"/>
      <c r="E200" s="34"/>
      <c r="F200" s="29"/>
      <c r="G200" s="45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</row>
    <row r="201" spans="1:18" x14ac:dyDescent="0.2">
      <c r="A201" s="29"/>
      <c r="B201" s="29"/>
      <c r="C201" s="32"/>
      <c r="D201" s="29"/>
      <c r="E201" s="34"/>
      <c r="F201" s="29"/>
      <c r="G201" s="45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</row>
    <row r="202" spans="1:18" x14ac:dyDescent="0.2">
      <c r="A202" s="29"/>
      <c r="B202" s="29"/>
      <c r="C202" s="32"/>
      <c r="D202" s="29"/>
      <c r="E202" s="34"/>
      <c r="F202" s="29"/>
      <c r="G202" s="45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</row>
    <row r="203" spans="1:18" x14ac:dyDescent="0.2">
      <c r="A203" s="29"/>
      <c r="B203" s="29"/>
      <c r="C203" s="32"/>
      <c r="D203" s="29"/>
      <c r="E203" s="34"/>
      <c r="F203" s="29"/>
      <c r="G203" s="45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</row>
    <row r="204" spans="1:18" x14ac:dyDescent="0.2">
      <c r="A204" s="29"/>
      <c r="B204" s="29"/>
      <c r="C204" s="32"/>
      <c r="D204" s="29"/>
      <c r="E204" s="34"/>
      <c r="F204" s="29"/>
      <c r="G204" s="45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</row>
    <row r="205" spans="1:18" x14ac:dyDescent="0.2">
      <c r="A205" s="29"/>
      <c r="B205" s="29"/>
      <c r="C205" s="32"/>
      <c r="D205" s="29"/>
      <c r="E205" s="34"/>
      <c r="F205" s="29"/>
      <c r="G205" s="45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</row>
    <row r="206" spans="1:18" x14ac:dyDescent="0.2">
      <c r="A206" s="29"/>
      <c r="B206" s="29"/>
      <c r="C206" s="32"/>
      <c r="D206" s="29"/>
      <c r="E206" s="34"/>
      <c r="F206" s="29"/>
      <c r="G206" s="45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</row>
    <row r="207" spans="1:18" x14ac:dyDescent="0.2">
      <c r="A207" s="29"/>
      <c r="B207" s="29"/>
      <c r="C207" s="32"/>
      <c r="D207" s="29"/>
      <c r="E207" s="34"/>
      <c r="F207" s="29"/>
      <c r="G207" s="45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</row>
    <row r="208" spans="1:18" x14ac:dyDescent="0.2">
      <c r="A208" s="29"/>
      <c r="B208" s="29"/>
      <c r="C208" s="32"/>
      <c r="D208" s="29"/>
      <c r="E208" s="34"/>
      <c r="F208" s="29"/>
      <c r="G208" s="45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</row>
    <row r="209" spans="1:18" x14ac:dyDescent="0.2">
      <c r="A209" s="29"/>
      <c r="B209" s="29"/>
      <c r="C209" s="32"/>
      <c r="D209" s="29"/>
      <c r="E209" s="34"/>
      <c r="F209" s="29"/>
      <c r="G209" s="45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</row>
    <row r="210" spans="1:18" x14ac:dyDescent="0.2">
      <c r="A210" s="29"/>
      <c r="B210" s="29"/>
      <c r="C210" s="32"/>
      <c r="D210" s="29"/>
      <c r="E210" s="34"/>
      <c r="F210" s="29"/>
      <c r="G210" s="45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</row>
    <row r="211" spans="1:18" x14ac:dyDescent="0.2">
      <c r="A211" s="29"/>
      <c r="B211" s="29"/>
      <c r="C211" s="32"/>
      <c r="D211" s="29"/>
      <c r="E211" s="34"/>
      <c r="F211" s="29"/>
      <c r="G211" s="45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</row>
    <row r="212" spans="1:18" x14ac:dyDescent="0.2">
      <c r="A212" s="29"/>
      <c r="B212" s="29"/>
      <c r="C212" s="32"/>
      <c r="D212" s="29"/>
      <c r="E212" s="34"/>
      <c r="F212" s="29"/>
      <c r="G212" s="45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</row>
    <row r="213" spans="1:18" x14ac:dyDescent="0.2">
      <c r="A213" s="29"/>
      <c r="B213" s="29"/>
      <c r="C213" s="32"/>
      <c r="D213" s="29"/>
      <c r="E213" s="34"/>
      <c r="F213" s="29"/>
      <c r="G213" s="45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</row>
    <row r="214" spans="1:18" x14ac:dyDescent="0.2">
      <c r="A214" s="29"/>
      <c r="B214" s="29"/>
      <c r="C214" s="32"/>
      <c r="D214" s="29"/>
      <c r="E214" s="34"/>
      <c r="F214" s="29"/>
      <c r="G214" s="45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</row>
    <row r="215" spans="1:18" x14ac:dyDescent="0.2">
      <c r="A215" s="29"/>
      <c r="B215" s="29"/>
      <c r="C215" s="32"/>
      <c r="D215" s="29"/>
      <c r="E215" s="34"/>
      <c r="F215" s="29"/>
      <c r="G215" s="45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</row>
    <row r="216" spans="1:18" x14ac:dyDescent="0.2">
      <c r="A216" s="29"/>
      <c r="B216" s="29"/>
      <c r="C216" s="32"/>
      <c r="D216" s="29"/>
      <c r="E216" s="34"/>
      <c r="F216" s="29"/>
      <c r="G216" s="45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</row>
    <row r="217" spans="1:18" x14ac:dyDescent="0.2">
      <c r="A217" s="29"/>
      <c r="B217" s="29"/>
      <c r="C217" s="32"/>
      <c r="D217" s="29"/>
      <c r="E217" s="34"/>
      <c r="F217" s="29"/>
      <c r="G217" s="45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</row>
    <row r="218" spans="1:18" x14ac:dyDescent="0.2">
      <c r="A218" s="29"/>
      <c r="B218" s="29"/>
      <c r="C218" s="32"/>
      <c r="D218" s="29"/>
      <c r="E218" s="34"/>
      <c r="F218" s="29"/>
      <c r="G218" s="45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</row>
    <row r="219" spans="1:18" x14ac:dyDescent="0.2">
      <c r="A219" s="29"/>
      <c r="B219" s="29"/>
      <c r="C219" s="32"/>
      <c r="D219" s="29"/>
      <c r="E219" s="34"/>
      <c r="F219" s="29"/>
      <c r="G219" s="45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</row>
    <row r="220" spans="1:18" x14ac:dyDescent="0.2">
      <c r="A220" s="29"/>
      <c r="B220" s="29"/>
      <c r="C220" s="32"/>
      <c r="D220" s="29"/>
      <c r="E220" s="34"/>
      <c r="F220" s="29"/>
      <c r="G220" s="45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</row>
    <row r="221" spans="1:18" x14ac:dyDescent="0.2">
      <c r="A221" s="29"/>
      <c r="B221" s="29"/>
      <c r="C221" s="32"/>
      <c r="D221" s="29"/>
      <c r="E221" s="34"/>
      <c r="F221" s="29"/>
      <c r="G221" s="45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</row>
    <row r="222" spans="1:18" x14ac:dyDescent="0.2">
      <c r="A222" s="29"/>
      <c r="B222" s="29"/>
      <c r="C222" s="32"/>
      <c r="D222" s="29"/>
      <c r="E222" s="34"/>
      <c r="F222" s="29"/>
      <c r="G222" s="45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</row>
    <row r="223" spans="1:18" x14ac:dyDescent="0.2">
      <c r="A223" s="29"/>
      <c r="B223" s="29"/>
      <c r="C223" s="32"/>
      <c r="D223" s="29"/>
      <c r="E223" s="34"/>
      <c r="F223" s="29"/>
      <c r="G223" s="45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</row>
    <row r="224" spans="1:18" x14ac:dyDescent="0.2">
      <c r="A224" s="29"/>
      <c r="B224" s="29"/>
      <c r="C224" s="32"/>
      <c r="D224" s="29"/>
      <c r="E224" s="34"/>
      <c r="F224" s="29"/>
      <c r="G224" s="45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</row>
    <row r="225" spans="1:18" x14ac:dyDescent="0.2">
      <c r="A225" s="29"/>
      <c r="B225" s="29"/>
      <c r="C225" s="32"/>
      <c r="D225" s="29"/>
      <c r="E225" s="34"/>
      <c r="F225" s="29"/>
      <c r="G225" s="45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</row>
    <row r="226" spans="1:18" x14ac:dyDescent="0.2">
      <c r="A226" s="29"/>
      <c r="B226" s="29"/>
      <c r="C226" s="32"/>
      <c r="D226" s="29"/>
      <c r="E226" s="34"/>
      <c r="F226" s="29"/>
      <c r="G226" s="45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</row>
    <row r="227" spans="1:18" x14ac:dyDescent="0.2">
      <c r="A227" s="29"/>
      <c r="B227" s="29"/>
      <c r="C227" s="32"/>
      <c r="D227" s="29"/>
      <c r="E227" s="34"/>
      <c r="F227" s="29"/>
      <c r="G227" s="45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</row>
    <row r="228" spans="1:18" x14ac:dyDescent="0.2">
      <c r="A228" s="29"/>
      <c r="B228" s="29"/>
      <c r="C228" s="32"/>
      <c r="D228" s="29"/>
      <c r="E228" s="34"/>
      <c r="F228" s="29"/>
      <c r="G228" s="45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</row>
    <row r="229" spans="1:18" x14ac:dyDescent="0.2">
      <c r="A229" s="29"/>
      <c r="B229" s="29"/>
      <c r="C229" s="32"/>
      <c r="D229" s="29"/>
      <c r="E229" s="34"/>
      <c r="F229" s="29"/>
      <c r="G229" s="45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</row>
    <row r="230" spans="1:18" x14ac:dyDescent="0.2">
      <c r="A230" s="29"/>
      <c r="B230" s="29"/>
      <c r="C230" s="32"/>
      <c r="D230" s="29"/>
      <c r="E230" s="34"/>
      <c r="F230" s="29"/>
      <c r="G230" s="45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</row>
    <row r="231" spans="1:18" x14ac:dyDescent="0.2">
      <c r="A231" s="29"/>
      <c r="B231" s="29"/>
      <c r="C231" s="32"/>
      <c r="D231" s="29"/>
      <c r="E231" s="34"/>
      <c r="F231" s="29"/>
      <c r="G231" s="45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</row>
    <row r="232" spans="1:18" x14ac:dyDescent="0.2">
      <c r="A232" s="29"/>
      <c r="B232" s="29"/>
      <c r="C232" s="32"/>
      <c r="D232" s="29"/>
      <c r="E232" s="34"/>
      <c r="F232" s="29"/>
      <c r="G232" s="45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</row>
    <row r="233" spans="1:18" x14ac:dyDescent="0.2">
      <c r="A233" s="29"/>
      <c r="B233" s="29"/>
      <c r="C233" s="32"/>
      <c r="D233" s="29"/>
      <c r="E233" s="34"/>
      <c r="F233" s="29"/>
      <c r="G233" s="45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</row>
    <row r="234" spans="1:18" x14ac:dyDescent="0.2">
      <c r="A234" s="29"/>
      <c r="B234" s="29"/>
      <c r="C234" s="32"/>
      <c r="D234" s="29"/>
      <c r="E234" s="34"/>
      <c r="F234" s="29"/>
      <c r="G234" s="45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</row>
    <row r="235" spans="1:18" x14ac:dyDescent="0.2">
      <c r="A235" s="29"/>
      <c r="B235" s="29"/>
      <c r="C235" s="32"/>
      <c r="D235" s="29"/>
      <c r="E235" s="34"/>
      <c r="F235" s="29"/>
      <c r="G235" s="45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</row>
    <row r="236" spans="1:18" x14ac:dyDescent="0.2">
      <c r="A236" s="29"/>
      <c r="B236" s="29"/>
      <c r="C236" s="32"/>
      <c r="D236" s="29"/>
      <c r="E236" s="34"/>
      <c r="F236" s="29"/>
      <c r="G236" s="45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</row>
    <row r="237" spans="1:18" x14ac:dyDescent="0.2">
      <c r="A237" s="29"/>
      <c r="B237" s="29"/>
      <c r="C237" s="32"/>
      <c r="D237" s="29"/>
      <c r="E237" s="34"/>
      <c r="F237" s="29"/>
      <c r="G237" s="45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</row>
    <row r="238" spans="1:18" x14ac:dyDescent="0.2">
      <c r="A238" s="29"/>
      <c r="B238" s="29"/>
      <c r="C238" s="32"/>
      <c r="D238" s="29"/>
      <c r="E238" s="34"/>
      <c r="F238" s="29"/>
      <c r="G238" s="45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</row>
    <row r="239" spans="1:18" x14ac:dyDescent="0.2">
      <c r="A239" s="29"/>
      <c r="B239" s="29"/>
      <c r="C239" s="32"/>
      <c r="D239" s="29"/>
      <c r="E239" s="34"/>
      <c r="F239" s="29"/>
      <c r="G239" s="45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</row>
    <row r="240" spans="1:18" x14ac:dyDescent="0.2">
      <c r="A240" s="29"/>
      <c r="B240" s="29"/>
      <c r="C240" s="32"/>
      <c r="D240" s="29"/>
      <c r="E240" s="34"/>
      <c r="F240" s="29"/>
      <c r="G240" s="45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</row>
    <row r="241" spans="1:18" x14ac:dyDescent="0.2">
      <c r="A241" s="29"/>
      <c r="B241" s="29"/>
      <c r="C241" s="32"/>
      <c r="D241" s="29"/>
      <c r="E241" s="34"/>
      <c r="F241" s="29"/>
      <c r="G241" s="45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</row>
    <row r="242" spans="1:18" x14ac:dyDescent="0.2">
      <c r="A242" s="29"/>
      <c r="B242" s="29"/>
      <c r="C242" s="32"/>
      <c r="D242" s="29"/>
      <c r="E242" s="34"/>
      <c r="F242" s="29"/>
      <c r="G242" s="45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</row>
    <row r="243" spans="1:18" x14ac:dyDescent="0.2">
      <c r="A243" s="29"/>
      <c r="B243" s="29"/>
      <c r="C243" s="32"/>
      <c r="D243" s="29"/>
      <c r="E243" s="34"/>
      <c r="F243" s="29"/>
      <c r="G243" s="45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</row>
    <row r="244" spans="1:18" x14ac:dyDescent="0.2">
      <c r="A244" s="29"/>
      <c r="B244" s="29"/>
      <c r="C244" s="32"/>
      <c r="D244" s="29"/>
      <c r="E244" s="34"/>
      <c r="F244" s="29"/>
      <c r="G244" s="45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</row>
    <row r="245" spans="1:18" x14ac:dyDescent="0.2">
      <c r="A245" s="29"/>
      <c r="B245" s="29"/>
      <c r="C245" s="32"/>
      <c r="D245" s="29"/>
      <c r="E245" s="34"/>
      <c r="F245" s="29"/>
      <c r="G245" s="45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</row>
    <row r="246" spans="1:18" x14ac:dyDescent="0.2">
      <c r="A246" s="29"/>
      <c r="B246" s="29"/>
      <c r="C246" s="32"/>
      <c r="D246" s="29"/>
      <c r="E246" s="34"/>
      <c r="F246" s="29"/>
      <c r="G246" s="45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</row>
    <row r="247" spans="1:18" x14ac:dyDescent="0.2">
      <c r="A247" s="29"/>
      <c r="B247" s="29"/>
      <c r="C247" s="32"/>
      <c r="D247" s="29"/>
      <c r="E247" s="34"/>
      <c r="F247" s="29"/>
      <c r="G247" s="45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</row>
    <row r="248" spans="1:18" x14ac:dyDescent="0.2">
      <c r="A248" s="29"/>
      <c r="B248" s="29"/>
      <c r="C248" s="32"/>
      <c r="D248" s="29"/>
      <c r="E248" s="34"/>
      <c r="F248" s="29"/>
      <c r="G248" s="45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</row>
    <row r="249" spans="1:18" x14ac:dyDescent="0.2">
      <c r="A249" s="29"/>
      <c r="B249" s="29"/>
      <c r="C249" s="32"/>
      <c r="D249" s="29"/>
      <c r="E249" s="34"/>
      <c r="F249" s="29"/>
      <c r="G249" s="45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</row>
    <row r="250" spans="1:18" x14ac:dyDescent="0.2">
      <c r="A250" s="29"/>
      <c r="B250" s="29"/>
      <c r="C250" s="32"/>
      <c r="D250" s="29"/>
      <c r="E250" s="34"/>
      <c r="F250" s="29"/>
      <c r="G250" s="45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</row>
    <row r="251" spans="1:18" x14ac:dyDescent="0.2">
      <c r="A251" s="29"/>
      <c r="B251" s="29"/>
      <c r="C251" s="32"/>
      <c r="D251" s="29"/>
      <c r="E251" s="34"/>
      <c r="F251" s="29"/>
      <c r="G251" s="45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</row>
    <row r="252" spans="1:18" x14ac:dyDescent="0.2">
      <c r="A252" s="29"/>
      <c r="B252" s="29"/>
      <c r="C252" s="32"/>
      <c r="D252" s="29"/>
      <c r="E252" s="34"/>
      <c r="F252" s="29"/>
      <c r="G252" s="45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</row>
    <row r="253" spans="1:18" x14ac:dyDescent="0.2">
      <c r="A253" s="29"/>
      <c r="B253" s="29"/>
      <c r="C253" s="32"/>
      <c r="D253" s="29"/>
      <c r="E253" s="34"/>
      <c r="F253" s="29"/>
      <c r="G253" s="45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</row>
    <row r="254" spans="1:18" x14ac:dyDescent="0.2">
      <c r="A254" s="29"/>
      <c r="B254" s="29"/>
      <c r="C254" s="32"/>
      <c r="D254" s="29"/>
      <c r="E254" s="34"/>
      <c r="F254" s="29"/>
      <c r="G254" s="45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</row>
    <row r="255" spans="1:18" x14ac:dyDescent="0.2">
      <c r="A255" s="29"/>
      <c r="B255" s="29"/>
      <c r="C255" s="32"/>
      <c r="D255" s="29"/>
      <c r="E255" s="34"/>
      <c r="F255" s="29"/>
      <c r="G255" s="45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</row>
    <row r="256" spans="1:18" x14ac:dyDescent="0.2">
      <c r="A256" s="29"/>
      <c r="B256" s="29"/>
      <c r="C256" s="32"/>
      <c r="D256" s="29"/>
      <c r="E256" s="34"/>
      <c r="F256" s="29"/>
      <c r="G256" s="45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</row>
    <row r="257" spans="1:18" x14ac:dyDescent="0.2">
      <c r="A257" s="29"/>
      <c r="B257" s="29"/>
      <c r="C257" s="32"/>
      <c r="D257" s="29"/>
      <c r="E257" s="34"/>
      <c r="F257" s="29"/>
      <c r="G257" s="45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</row>
    <row r="258" spans="1:18" x14ac:dyDescent="0.2">
      <c r="A258" s="29"/>
      <c r="B258" s="29"/>
      <c r="C258" s="32"/>
      <c r="D258" s="29"/>
      <c r="E258" s="34"/>
      <c r="F258" s="29"/>
      <c r="G258" s="45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</row>
    <row r="259" spans="1:18" x14ac:dyDescent="0.2">
      <c r="A259" s="29"/>
      <c r="B259" s="29"/>
      <c r="C259" s="32"/>
      <c r="D259" s="29"/>
      <c r="E259" s="34"/>
      <c r="F259" s="29"/>
      <c r="G259" s="45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</row>
    <row r="260" spans="1:18" x14ac:dyDescent="0.2">
      <c r="A260" s="29"/>
      <c r="B260" s="29"/>
      <c r="C260" s="32"/>
      <c r="D260" s="29"/>
      <c r="E260" s="34"/>
      <c r="F260" s="29"/>
      <c r="G260" s="45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</row>
    <row r="261" spans="1:18" x14ac:dyDescent="0.2">
      <c r="A261" s="29"/>
      <c r="B261" s="29"/>
      <c r="C261" s="32"/>
      <c r="D261" s="29"/>
      <c r="E261" s="34"/>
      <c r="F261" s="29"/>
      <c r="G261" s="45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</row>
    <row r="262" spans="1:18" x14ac:dyDescent="0.2">
      <c r="A262" s="29"/>
      <c r="B262" s="29"/>
      <c r="C262" s="32"/>
      <c r="D262" s="29"/>
      <c r="E262" s="34"/>
      <c r="F262" s="29"/>
      <c r="G262" s="45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</row>
    <row r="263" spans="1:18" x14ac:dyDescent="0.2">
      <c r="A263" s="29"/>
      <c r="B263" s="29"/>
      <c r="C263" s="32"/>
      <c r="D263" s="29"/>
      <c r="E263" s="34"/>
      <c r="F263" s="29"/>
      <c r="G263" s="45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</row>
    <row r="264" spans="1:18" x14ac:dyDescent="0.2">
      <c r="A264" s="29"/>
      <c r="B264" s="29"/>
      <c r="C264" s="32"/>
      <c r="D264" s="29"/>
      <c r="E264" s="34"/>
      <c r="F264" s="29"/>
      <c r="G264" s="45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</row>
    <row r="265" spans="1:18" x14ac:dyDescent="0.2">
      <c r="A265" s="29"/>
      <c r="B265" s="29"/>
      <c r="C265" s="32"/>
      <c r="D265" s="29"/>
      <c r="E265" s="34"/>
      <c r="F265" s="29"/>
      <c r="G265" s="45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</row>
    <row r="266" spans="1:18" x14ac:dyDescent="0.2">
      <c r="A266" s="29"/>
      <c r="B266" s="29"/>
      <c r="C266" s="32"/>
      <c r="D266" s="29"/>
      <c r="E266" s="34"/>
      <c r="F266" s="29"/>
      <c r="G266" s="45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</row>
    <row r="267" spans="1:18" x14ac:dyDescent="0.2">
      <c r="A267" s="29"/>
      <c r="B267" s="29"/>
      <c r="C267" s="32"/>
      <c r="D267" s="29"/>
      <c r="E267" s="34"/>
      <c r="F267" s="29"/>
      <c r="G267" s="45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</row>
    <row r="268" spans="1:18" x14ac:dyDescent="0.2">
      <c r="A268" s="29"/>
      <c r="B268" s="29"/>
      <c r="C268" s="32"/>
      <c r="D268" s="29"/>
      <c r="E268" s="34"/>
      <c r="F268" s="29"/>
      <c r="G268" s="45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</row>
    <row r="269" spans="1:18" x14ac:dyDescent="0.2">
      <c r="A269" s="29"/>
      <c r="B269" s="29"/>
      <c r="C269" s="32"/>
      <c r="D269" s="29"/>
      <c r="E269" s="34"/>
      <c r="F269" s="29"/>
      <c r="G269" s="45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</row>
    <row r="270" spans="1:18" x14ac:dyDescent="0.2">
      <c r="A270" s="29"/>
      <c r="B270" s="29"/>
      <c r="C270" s="32"/>
      <c r="D270" s="29"/>
      <c r="E270" s="34"/>
      <c r="F270" s="29"/>
      <c r="G270" s="45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</row>
    <row r="271" spans="1:18" x14ac:dyDescent="0.2">
      <c r="A271" s="29"/>
      <c r="B271" s="29"/>
      <c r="C271" s="32"/>
      <c r="D271" s="29"/>
      <c r="E271" s="34"/>
      <c r="F271" s="29"/>
      <c r="G271" s="45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</row>
    <row r="272" spans="1:18" x14ac:dyDescent="0.2">
      <c r="A272" s="29"/>
      <c r="B272" s="29"/>
      <c r="C272" s="32"/>
      <c r="D272" s="29"/>
      <c r="E272" s="34"/>
      <c r="F272" s="29"/>
      <c r="G272" s="45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</row>
    <row r="273" spans="1:18" x14ac:dyDescent="0.2">
      <c r="A273" s="29"/>
      <c r="B273" s="29"/>
      <c r="C273" s="32"/>
      <c r="D273" s="29"/>
      <c r="E273" s="34"/>
      <c r="F273" s="29"/>
      <c r="G273" s="45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</row>
    <row r="274" spans="1:18" x14ac:dyDescent="0.2">
      <c r="A274" s="29"/>
      <c r="B274" s="29"/>
      <c r="C274" s="32"/>
      <c r="D274" s="29"/>
      <c r="E274" s="34"/>
      <c r="F274" s="29"/>
      <c r="G274" s="45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</row>
    <row r="275" spans="1:18" x14ac:dyDescent="0.2">
      <c r="A275" s="29"/>
      <c r="B275" s="29"/>
      <c r="C275" s="32"/>
      <c r="D275" s="29"/>
      <c r="E275" s="34"/>
      <c r="F275" s="29"/>
      <c r="G275" s="45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</row>
    <row r="276" spans="1:18" x14ac:dyDescent="0.2">
      <c r="A276" s="29"/>
      <c r="B276" s="29"/>
      <c r="C276" s="32"/>
      <c r="D276" s="29"/>
      <c r="E276" s="34"/>
      <c r="F276" s="29"/>
      <c r="G276" s="45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</row>
    <row r="277" spans="1:18" x14ac:dyDescent="0.2">
      <c r="A277" s="29"/>
      <c r="B277" s="29"/>
      <c r="C277" s="32"/>
      <c r="D277" s="29"/>
      <c r="E277" s="34"/>
      <c r="F277" s="29"/>
      <c r="G277" s="45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</row>
    <row r="278" spans="1:18" x14ac:dyDescent="0.2">
      <c r="A278" s="29"/>
      <c r="B278" s="29"/>
      <c r="C278" s="32"/>
      <c r="D278" s="29"/>
      <c r="E278" s="34"/>
      <c r="F278" s="29"/>
      <c r="G278" s="45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</row>
    <row r="279" spans="1:18" x14ac:dyDescent="0.2">
      <c r="A279" s="29"/>
      <c r="B279" s="29"/>
      <c r="C279" s="32"/>
      <c r="D279" s="29"/>
      <c r="E279" s="34"/>
      <c r="F279" s="29"/>
      <c r="G279" s="45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</row>
    <row r="280" spans="1:18" x14ac:dyDescent="0.2">
      <c r="A280" s="29"/>
      <c r="B280" s="29"/>
      <c r="C280" s="32"/>
      <c r="D280" s="29"/>
      <c r="E280" s="34"/>
      <c r="F280" s="29"/>
      <c r="G280" s="45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</row>
    <row r="281" spans="1:18" x14ac:dyDescent="0.2">
      <c r="A281" s="29"/>
      <c r="B281" s="29"/>
      <c r="C281" s="32"/>
      <c r="D281" s="29"/>
      <c r="E281" s="34"/>
      <c r="F281" s="29"/>
      <c r="G281" s="45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</row>
    <row r="282" spans="1:18" x14ac:dyDescent="0.2">
      <c r="A282" s="29"/>
      <c r="B282" s="29"/>
      <c r="C282" s="32"/>
      <c r="D282" s="29"/>
      <c r="E282" s="34"/>
      <c r="F282" s="29"/>
      <c r="G282" s="45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</row>
    <row r="283" spans="1:18" x14ac:dyDescent="0.2">
      <c r="A283" s="29"/>
      <c r="B283" s="29"/>
      <c r="C283" s="32"/>
      <c r="D283" s="29"/>
      <c r="E283" s="34"/>
      <c r="F283" s="29"/>
      <c r="G283" s="45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</row>
    <row r="284" spans="1:18" x14ac:dyDescent="0.2">
      <c r="A284" s="29"/>
      <c r="B284" s="29"/>
      <c r="C284" s="32"/>
      <c r="D284" s="29"/>
      <c r="E284" s="34"/>
      <c r="F284" s="29"/>
      <c r="G284" s="45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</row>
    <row r="285" spans="1:18" x14ac:dyDescent="0.2">
      <c r="A285" s="29"/>
      <c r="B285" s="29"/>
      <c r="C285" s="32"/>
      <c r="D285" s="29"/>
      <c r="E285" s="34"/>
      <c r="F285" s="29"/>
      <c r="G285" s="45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</row>
    <row r="286" spans="1:18" x14ac:dyDescent="0.2">
      <c r="A286" s="29"/>
      <c r="B286" s="29"/>
      <c r="C286" s="32"/>
      <c r="D286" s="29"/>
      <c r="E286" s="34"/>
      <c r="F286" s="29"/>
      <c r="G286" s="45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</row>
    <row r="287" spans="1:18" x14ac:dyDescent="0.2">
      <c r="A287" s="29"/>
      <c r="B287" s="29"/>
      <c r="C287" s="32"/>
      <c r="D287" s="29"/>
      <c r="E287" s="34"/>
      <c r="F287" s="29"/>
      <c r="G287" s="45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</row>
    <row r="288" spans="1:18" x14ac:dyDescent="0.2">
      <c r="A288" s="29"/>
      <c r="B288" s="29"/>
      <c r="C288" s="32"/>
      <c r="D288" s="29"/>
      <c r="E288" s="34"/>
      <c r="F288" s="29"/>
      <c r="G288" s="45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</row>
    <row r="289" spans="1:18" x14ac:dyDescent="0.2">
      <c r="A289" s="29"/>
      <c r="B289" s="29"/>
      <c r="C289" s="32"/>
      <c r="D289" s="29"/>
      <c r="E289" s="34"/>
      <c r="F289" s="29"/>
      <c r="G289" s="45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</row>
    <row r="290" spans="1:18" x14ac:dyDescent="0.2">
      <c r="A290" s="29"/>
      <c r="B290" s="29"/>
      <c r="C290" s="32"/>
      <c r="D290" s="29"/>
      <c r="E290" s="34"/>
      <c r="F290" s="29"/>
      <c r="G290" s="45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</row>
    <row r="291" spans="1:18" x14ac:dyDescent="0.2">
      <c r="A291" s="29"/>
      <c r="B291" s="29"/>
      <c r="C291" s="32"/>
      <c r="D291" s="29"/>
      <c r="E291" s="34"/>
      <c r="F291" s="29"/>
      <c r="G291" s="45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</row>
    <row r="292" spans="1:18" x14ac:dyDescent="0.2">
      <c r="A292" s="29"/>
      <c r="B292" s="29"/>
      <c r="C292" s="32"/>
      <c r="D292" s="29"/>
      <c r="E292" s="34"/>
      <c r="F292" s="29"/>
      <c r="G292" s="45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</row>
    <row r="293" spans="1:18" x14ac:dyDescent="0.2">
      <c r="A293" s="29"/>
      <c r="B293" s="29"/>
      <c r="C293" s="32"/>
      <c r="D293" s="29"/>
      <c r="E293" s="34"/>
      <c r="F293" s="29"/>
      <c r="G293" s="45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</row>
    <row r="294" spans="1:18" x14ac:dyDescent="0.2">
      <c r="A294" s="29"/>
      <c r="B294" s="29"/>
      <c r="C294" s="32"/>
      <c r="D294" s="29"/>
      <c r="E294" s="34"/>
      <c r="F294" s="29"/>
      <c r="G294" s="45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</row>
    <row r="295" spans="1:18" x14ac:dyDescent="0.2">
      <c r="A295" s="29"/>
      <c r="B295" s="29"/>
      <c r="C295" s="32"/>
      <c r="D295" s="29"/>
      <c r="E295" s="34"/>
      <c r="F295" s="29"/>
      <c r="G295" s="45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</row>
    <row r="296" spans="1:18" x14ac:dyDescent="0.2">
      <c r="A296" s="29"/>
      <c r="B296" s="29"/>
      <c r="C296" s="32"/>
      <c r="D296" s="29"/>
      <c r="E296" s="34"/>
      <c r="F296" s="29"/>
      <c r="G296" s="45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</row>
    <row r="297" spans="1:18" x14ac:dyDescent="0.2">
      <c r="A297" s="29"/>
      <c r="B297" s="29"/>
      <c r="C297" s="32"/>
      <c r="D297" s="29"/>
      <c r="E297" s="34"/>
      <c r="F297" s="29"/>
      <c r="G297" s="45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</row>
    <row r="298" spans="1:18" x14ac:dyDescent="0.2">
      <c r="A298" s="29"/>
      <c r="B298" s="29"/>
      <c r="C298" s="32"/>
      <c r="D298" s="29"/>
      <c r="E298" s="34"/>
      <c r="F298" s="29"/>
      <c r="G298" s="45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</row>
    <row r="299" spans="1:18" x14ac:dyDescent="0.2">
      <c r="A299" s="29"/>
      <c r="B299" s="29"/>
      <c r="C299" s="32"/>
      <c r="D299" s="29"/>
      <c r="E299" s="34"/>
      <c r="F299" s="29"/>
      <c r="G299" s="45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</row>
    <row r="300" spans="1:18" x14ac:dyDescent="0.2">
      <c r="A300" s="29"/>
      <c r="B300" s="29"/>
      <c r="C300" s="32"/>
      <c r="D300" s="29"/>
      <c r="E300" s="34"/>
      <c r="F300" s="29"/>
      <c r="G300" s="45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</row>
    <row r="301" spans="1:18" x14ac:dyDescent="0.2">
      <c r="A301" s="29"/>
      <c r="B301" s="29"/>
      <c r="C301" s="32"/>
      <c r="D301" s="29"/>
      <c r="E301" s="34"/>
      <c r="F301" s="29"/>
      <c r="G301" s="45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</row>
    <row r="302" spans="1:18" x14ac:dyDescent="0.2">
      <c r="A302" s="29"/>
      <c r="B302" s="29"/>
      <c r="C302" s="32"/>
      <c r="D302" s="29"/>
      <c r="E302" s="34"/>
      <c r="F302" s="29"/>
      <c r="G302" s="45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</row>
    <row r="303" spans="1:18" x14ac:dyDescent="0.2">
      <c r="A303" s="29"/>
      <c r="B303" s="29"/>
      <c r="C303" s="32"/>
      <c r="D303" s="29"/>
      <c r="E303" s="34"/>
      <c r="F303" s="29"/>
      <c r="G303" s="45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</row>
    <row r="304" spans="1:18" x14ac:dyDescent="0.2">
      <c r="A304" s="29"/>
      <c r="B304" s="29"/>
      <c r="C304" s="32"/>
      <c r="D304" s="29"/>
      <c r="E304" s="34"/>
      <c r="F304" s="29"/>
      <c r="G304" s="45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</row>
    <row r="305" spans="1:18" x14ac:dyDescent="0.2">
      <c r="A305" s="29"/>
      <c r="B305" s="29"/>
      <c r="C305" s="32"/>
      <c r="D305" s="29"/>
      <c r="E305" s="34"/>
      <c r="F305" s="29"/>
      <c r="G305" s="45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</row>
    <row r="306" spans="1:18" x14ac:dyDescent="0.2">
      <c r="A306" s="29"/>
      <c r="B306" s="29"/>
      <c r="C306" s="32"/>
      <c r="D306" s="29"/>
      <c r="E306" s="34"/>
      <c r="F306" s="29"/>
      <c r="G306" s="45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</row>
    <row r="307" spans="1:18" x14ac:dyDescent="0.2">
      <c r="A307" s="29"/>
      <c r="B307" s="29"/>
      <c r="C307" s="32"/>
      <c r="D307" s="29"/>
      <c r="E307" s="34"/>
      <c r="F307" s="29"/>
      <c r="G307" s="45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</row>
    <row r="308" spans="1:18" x14ac:dyDescent="0.2">
      <c r="A308" s="29"/>
      <c r="B308" s="29"/>
      <c r="C308" s="32"/>
      <c r="D308" s="29"/>
      <c r="E308" s="34"/>
      <c r="F308" s="29"/>
      <c r="G308" s="45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</row>
    <row r="309" spans="1:18" x14ac:dyDescent="0.2">
      <c r="A309" s="29"/>
      <c r="B309" s="29"/>
      <c r="C309" s="32"/>
      <c r="D309" s="29"/>
      <c r="E309" s="34"/>
      <c r="F309" s="29"/>
      <c r="G309" s="45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</row>
    <row r="310" spans="1:18" x14ac:dyDescent="0.2">
      <c r="A310" s="29"/>
      <c r="B310" s="29"/>
      <c r="C310" s="32"/>
      <c r="D310" s="29"/>
      <c r="E310" s="34"/>
      <c r="F310" s="29"/>
      <c r="G310" s="45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</row>
    <row r="311" spans="1:18" x14ac:dyDescent="0.2">
      <c r="A311" s="29"/>
      <c r="B311" s="29"/>
      <c r="C311" s="32"/>
      <c r="D311" s="29"/>
      <c r="E311" s="34"/>
      <c r="F311" s="29"/>
      <c r="G311" s="45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</row>
    <row r="312" spans="1:18" x14ac:dyDescent="0.2">
      <c r="A312" s="29"/>
      <c r="B312" s="29"/>
      <c r="C312" s="32"/>
      <c r="D312" s="29"/>
      <c r="E312" s="34"/>
      <c r="F312" s="29"/>
      <c r="G312" s="45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</row>
    <row r="313" spans="1:18" x14ac:dyDescent="0.2">
      <c r="A313" s="29"/>
      <c r="B313" s="29"/>
      <c r="C313" s="32"/>
      <c r="D313" s="29"/>
      <c r="E313" s="34"/>
      <c r="F313" s="29"/>
      <c r="G313" s="45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</row>
    <row r="314" spans="1:18" x14ac:dyDescent="0.2">
      <c r="A314" s="29"/>
      <c r="B314" s="29"/>
      <c r="C314" s="32"/>
      <c r="D314" s="29"/>
      <c r="E314" s="34"/>
      <c r="F314" s="29"/>
      <c r="G314" s="45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</row>
    <row r="315" spans="1:18" x14ac:dyDescent="0.2">
      <c r="A315" s="29"/>
      <c r="B315" s="29"/>
      <c r="C315" s="32"/>
      <c r="D315" s="29"/>
      <c r="E315" s="34"/>
      <c r="F315" s="29"/>
      <c r="G315" s="45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</row>
    <row r="316" spans="1:18" x14ac:dyDescent="0.2">
      <c r="A316" s="29"/>
      <c r="B316" s="29"/>
      <c r="C316" s="32"/>
      <c r="D316" s="29"/>
      <c r="E316" s="34"/>
      <c r="F316" s="29"/>
      <c r="G316" s="45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</row>
    <row r="317" spans="1:18" x14ac:dyDescent="0.2">
      <c r="A317" s="29"/>
      <c r="B317" s="29"/>
      <c r="C317" s="32"/>
      <c r="D317" s="29"/>
      <c r="E317" s="34"/>
      <c r="F317" s="29"/>
      <c r="G317" s="45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</row>
    <row r="318" spans="1:18" x14ac:dyDescent="0.2">
      <c r="A318" s="29"/>
      <c r="B318" s="29"/>
      <c r="C318" s="32"/>
      <c r="D318" s="29"/>
      <c r="E318" s="34"/>
      <c r="F318" s="29"/>
      <c r="G318" s="45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</row>
    <row r="319" spans="1:18" x14ac:dyDescent="0.2">
      <c r="A319" s="29"/>
      <c r="B319" s="29"/>
      <c r="C319" s="32"/>
      <c r="D319" s="29"/>
      <c r="E319" s="34"/>
      <c r="F319" s="29"/>
      <c r="G319" s="45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</row>
    <row r="320" spans="1:18" x14ac:dyDescent="0.2">
      <c r="A320" s="29"/>
      <c r="B320" s="29"/>
      <c r="C320" s="32"/>
      <c r="D320" s="29"/>
      <c r="E320" s="34"/>
      <c r="F320" s="29"/>
      <c r="G320" s="45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</row>
    <row r="321" spans="1:18" x14ac:dyDescent="0.2">
      <c r="A321" s="29"/>
      <c r="B321" s="29"/>
      <c r="C321" s="32"/>
      <c r="D321" s="29"/>
      <c r="E321" s="34"/>
      <c r="F321" s="29"/>
      <c r="G321" s="45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</row>
    <row r="322" spans="1:18" x14ac:dyDescent="0.2">
      <c r="A322" s="29"/>
      <c r="B322" s="29"/>
      <c r="C322" s="32"/>
      <c r="D322" s="29"/>
      <c r="E322" s="34"/>
      <c r="F322" s="29"/>
      <c r="G322" s="45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</row>
    <row r="323" spans="1:18" x14ac:dyDescent="0.2">
      <c r="A323" s="29"/>
      <c r="B323" s="29"/>
      <c r="C323" s="32"/>
      <c r="D323" s="29"/>
      <c r="E323" s="34"/>
      <c r="F323" s="29"/>
      <c r="G323" s="45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</row>
    <row r="324" spans="1:18" x14ac:dyDescent="0.2">
      <c r="A324" s="29"/>
      <c r="B324" s="29"/>
      <c r="C324" s="32"/>
      <c r="D324" s="29"/>
      <c r="E324" s="34"/>
      <c r="F324" s="29"/>
      <c r="G324" s="45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</row>
    <row r="325" spans="1:18" x14ac:dyDescent="0.2">
      <c r="A325" s="29"/>
      <c r="B325" s="29"/>
      <c r="C325" s="32"/>
      <c r="D325" s="29"/>
      <c r="E325" s="34"/>
      <c r="F325" s="29"/>
      <c r="G325" s="45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</row>
    <row r="326" spans="1:18" x14ac:dyDescent="0.2">
      <c r="A326" s="29"/>
      <c r="B326" s="29"/>
      <c r="C326" s="32"/>
      <c r="D326" s="29"/>
      <c r="E326" s="34"/>
      <c r="F326" s="29"/>
      <c r="G326" s="45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</row>
    <row r="327" spans="1:18" x14ac:dyDescent="0.2">
      <c r="A327" s="29"/>
      <c r="B327" s="29"/>
      <c r="C327" s="32"/>
      <c r="D327" s="29"/>
      <c r="E327" s="34"/>
      <c r="F327" s="29"/>
      <c r="G327" s="45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</row>
    <row r="328" spans="1:18" x14ac:dyDescent="0.2">
      <c r="A328" s="29"/>
      <c r="B328" s="29"/>
      <c r="C328" s="32"/>
      <c r="D328" s="29"/>
      <c r="E328" s="34"/>
      <c r="F328" s="29"/>
      <c r="G328" s="45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</row>
    <row r="329" spans="1:18" x14ac:dyDescent="0.2">
      <c r="A329" s="29"/>
      <c r="B329" s="29"/>
      <c r="C329" s="32"/>
      <c r="D329" s="29"/>
      <c r="E329" s="34"/>
      <c r="F329" s="29"/>
      <c r="G329" s="45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</row>
    <row r="330" spans="1:18" x14ac:dyDescent="0.2">
      <c r="A330" s="29"/>
      <c r="B330" s="29"/>
      <c r="C330" s="32"/>
      <c r="D330" s="29"/>
      <c r="E330" s="34"/>
      <c r="F330" s="29"/>
      <c r="G330" s="45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</row>
    <row r="331" spans="1:18" x14ac:dyDescent="0.2">
      <c r="A331" s="29"/>
      <c r="B331" s="29"/>
      <c r="C331" s="32"/>
      <c r="D331" s="29"/>
      <c r="E331" s="34"/>
      <c r="F331" s="29"/>
      <c r="G331" s="45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</row>
    <row r="332" spans="1:18" x14ac:dyDescent="0.2">
      <c r="A332" s="29"/>
      <c r="B332" s="29"/>
      <c r="C332" s="32"/>
      <c r="D332" s="29"/>
      <c r="E332" s="34"/>
      <c r="F332" s="29"/>
      <c r="G332" s="45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</row>
    <row r="333" spans="1:18" x14ac:dyDescent="0.2">
      <c r="A333" s="29"/>
      <c r="B333" s="29"/>
      <c r="C333" s="32"/>
      <c r="D333" s="29"/>
      <c r="E333" s="34"/>
      <c r="F333" s="29"/>
      <c r="G333" s="45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</row>
    <row r="334" spans="1:18" x14ac:dyDescent="0.2">
      <c r="A334" s="29"/>
      <c r="B334" s="29"/>
      <c r="C334" s="32"/>
      <c r="D334" s="29"/>
      <c r="E334" s="34"/>
      <c r="F334" s="29"/>
      <c r="G334" s="45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</row>
    <row r="335" spans="1:18" x14ac:dyDescent="0.2">
      <c r="A335" s="29"/>
      <c r="B335" s="29"/>
      <c r="C335" s="32"/>
      <c r="D335" s="29"/>
      <c r="E335" s="34"/>
      <c r="F335" s="29"/>
      <c r="G335" s="45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</row>
    <row r="336" spans="1:18" x14ac:dyDescent="0.2">
      <c r="A336" s="29"/>
      <c r="B336" s="29"/>
      <c r="C336" s="32"/>
      <c r="D336" s="29"/>
      <c r="E336" s="34"/>
      <c r="F336" s="29"/>
      <c r="G336" s="45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</row>
    <row r="337" spans="1:18" x14ac:dyDescent="0.2">
      <c r="A337" s="29"/>
      <c r="B337" s="29"/>
      <c r="C337" s="32"/>
      <c r="D337" s="29"/>
      <c r="E337" s="34"/>
      <c r="F337" s="29"/>
      <c r="G337" s="45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</row>
    <row r="338" spans="1:18" x14ac:dyDescent="0.2">
      <c r="A338" s="29"/>
      <c r="B338" s="29"/>
      <c r="C338" s="32"/>
      <c r="D338" s="29"/>
      <c r="E338" s="34"/>
      <c r="F338" s="29"/>
      <c r="G338" s="45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</row>
    <row r="339" spans="1:18" x14ac:dyDescent="0.2">
      <c r="A339" s="29"/>
      <c r="B339" s="29"/>
      <c r="C339" s="32"/>
      <c r="D339" s="29"/>
      <c r="E339" s="34"/>
      <c r="F339" s="29"/>
      <c r="G339" s="45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</row>
    <row r="340" spans="1:18" x14ac:dyDescent="0.2">
      <c r="A340" s="29"/>
      <c r="B340" s="29"/>
      <c r="C340" s="32"/>
      <c r="D340" s="29"/>
      <c r="E340" s="34"/>
      <c r="F340" s="29"/>
      <c r="G340" s="45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</row>
    <row r="341" spans="1:18" x14ac:dyDescent="0.2">
      <c r="A341" s="29"/>
      <c r="B341" s="29"/>
      <c r="C341" s="32"/>
      <c r="D341" s="29"/>
      <c r="E341" s="34"/>
      <c r="F341" s="29"/>
      <c r="G341" s="45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</row>
    <row r="342" spans="1:18" x14ac:dyDescent="0.2">
      <c r="A342" s="29"/>
      <c r="B342" s="29"/>
      <c r="C342" s="32"/>
      <c r="D342" s="29"/>
      <c r="E342" s="34"/>
      <c r="F342" s="29"/>
      <c r="G342" s="45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</row>
    <row r="343" spans="1:18" x14ac:dyDescent="0.2">
      <c r="A343" s="29"/>
      <c r="B343" s="29"/>
      <c r="C343" s="32"/>
      <c r="D343" s="29"/>
      <c r="E343" s="34"/>
      <c r="F343" s="29"/>
      <c r="G343" s="45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</row>
    <row r="344" spans="1:18" x14ac:dyDescent="0.2">
      <c r="A344" s="29"/>
      <c r="B344" s="29"/>
      <c r="C344" s="32"/>
      <c r="D344" s="29"/>
      <c r="E344" s="34"/>
      <c r="F344" s="29"/>
      <c r="G344" s="45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</row>
    <row r="345" spans="1:18" x14ac:dyDescent="0.2">
      <c r="A345" s="29"/>
      <c r="B345" s="29"/>
      <c r="C345" s="32"/>
      <c r="D345" s="29"/>
      <c r="E345" s="34"/>
      <c r="F345" s="29"/>
      <c r="G345" s="45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</row>
    <row r="346" spans="1:18" x14ac:dyDescent="0.2">
      <c r="A346" s="29"/>
      <c r="B346" s="29"/>
      <c r="C346" s="32"/>
      <c r="D346" s="29"/>
      <c r="E346" s="34"/>
      <c r="F346" s="29"/>
      <c r="G346" s="45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</row>
    <row r="347" spans="1:18" x14ac:dyDescent="0.2">
      <c r="A347" s="29"/>
      <c r="B347" s="29"/>
      <c r="C347" s="32"/>
      <c r="D347" s="29"/>
      <c r="E347" s="34"/>
      <c r="F347" s="29"/>
      <c r="G347" s="45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</row>
    <row r="348" spans="1:18" x14ac:dyDescent="0.2">
      <c r="A348" s="29"/>
      <c r="B348" s="29"/>
      <c r="C348" s="32"/>
      <c r="D348" s="29"/>
      <c r="E348" s="34"/>
      <c r="F348" s="29"/>
      <c r="G348" s="45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</row>
    <row r="349" spans="1:18" x14ac:dyDescent="0.2">
      <c r="A349" s="29"/>
      <c r="B349" s="29"/>
      <c r="C349" s="32"/>
      <c r="D349" s="29"/>
      <c r="E349" s="34"/>
      <c r="F349" s="29"/>
      <c r="G349" s="45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</row>
    <row r="350" spans="1:18" x14ac:dyDescent="0.2">
      <c r="A350" s="29"/>
      <c r="B350" s="29"/>
      <c r="C350" s="32"/>
      <c r="D350" s="29"/>
      <c r="E350" s="34"/>
      <c r="F350" s="29"/>
      <c r="G350" s="45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</row>
    <row r="351" spans="1:18" x14ac:dyDescent="0.2">
      <c r="A351" s="29"/>
      <c r="B351" s="29"/>
      <c r="C351" s="32"/>
      <c r="D351" s="29"/>
      <c r="E351" s="34"/>
      <c r="F351" s="29"/>
      <c r="G351" s="45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</row>
    <row r="352" spans="1:18" x14ac:dyDescent="0.2">
      <c r="A352" s="29"/>
      <c r="B352" s="29"/>
      <c r="C352" s="32"/>
      <c r="D352" s="29"/>
      <c r="E352" s="34"/>
      <c r="F352" s="29"/>
      <c r="G352" s="45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</row>
    <row r="353" spans="1:18" x14ac:dyDescent="0.2">
      <c r="A353" s="29"/>
      <c r="B353" s="29"/>
      <c r="C353" s="32"/>
      <c r="D353" s="29"/>
      <c r="E353" s="34"/>
      <c r="F353" s="29"/>
      <c r="G353" s="45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</row>
    <row r="354" spans="1:18" x14ac:dyDescent="0.2">
      <c r="A354" s="29"/>
      <c r="B354" s="29"/>
      <c r="C354" s="32"/>
      <c r="D354" s="29"/>
      <c r="E354" s="34"/>
      <c r="F354" s="29"/>
      <c r="G354" s="45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</row>
    <row r="355" spans="1:18" x14ac:dyDescent="0.2">
      <c r="A355" s="29"/>
      <c r="B355" s="29"/>
      <c r="C355" s="32"/>
      <c r="D355" s="29"/>
      <c r="E355" s="34"/>
      <c r="F355" s="29"/>
      <c r="G355" s="45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</row>
    <row r="356" spans="1:18" x14ac:dyDescent="0.2">
      <c r="A356" s="29"/>
      <c r="B356" s="29"/>
      <c r="C356" s="32"/>
      <c r="D356" s="29"/>
      <c r="E356" s="34"/>
      <c r="F356" s="29"/>
      <c r="G356" s="45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</row>
    <row r="357" spans="1:18" x14ac:dyDescent="0.2">
      <c r="A357" s="29"/>
      <c r="B357" s="29"/>
      <c r="C357" s="32"/>
      <c r="D357" s="29"/>
      <c r="E357" s="34"/>
      <c r="F357" s="29"/>
      <c r="G357" s="45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</row>
    <row r="358" spans="1:18" x14ac:dyDescent="0.2">
      <c r="A358" s="29"/>
      <c r="B358" s="29"/>
      <c r="C358" s="32"/>
      <c r="D358" s="29"/>
      <c r="E358" s="34"/>
      <c r="F358" s="29"/>
      <c r="G358" s="45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</row>
    <row r="359" spans="1:18" x14ac:dyDescent="0.2">
      <c r="A359" s="29"/>
      <c r="B359" s="29"/>
      <c r="C359" s="32"/>
      <c r="D359" s="29"/>
      <c r="E359" s="34"/>
      <c r="F359" s="29"/>
      <c r="G359" s="45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</row>
    <row r="360" spans="1:18" x14ac:dyDescent="0.2">
      <c r="A360" s="29"/>
      <c r="B360" s="29"/>
      <c r="C360" s="32"/>
      <c r="D360" s="29"/>
      <c r="E360" s="34"/>
      <c r="F360" s="29"/>
      <c r="G360" s="45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</row>
    <row r="361" spans="1:18" x14ac:dyDescent="0.2">
      <c r="A361" s="29"/>
      <c r="B361" s="29"/>
      <c r="C361" s="32"/>
      <c r="D361" s="29"/>
      <c r="E361" s="34"/>
      <c r="F361" s="29"/>
      <c r="G361" s="45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</row>
    <row r="362" spans="1:18" x14ac:dyDescent="0.2">
      <c r="A362" s="29"/>
      <c r="B362" s="29"/>
      <c r="C362" s="32"/>
      <c r="D362" s="29"/>
      <c r="E362" s="34"/>
      <c r="F362" s="29"/>
      <c r="G362" s="45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</row>
    <row r="363" spans="1:18" x14ac:dyDescent="0.2">
      <c r="A363" s="29"/>
      <c r="B363" s="29"/>
      <c r="C363" s="32"/>
      <c r="D363" s="29"/>
      <c r="E363" s="34"/>
      <c r="F363" s="29"/>
      <c r="G363" s="45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</row>
    <row r="364" spans="1:18" x14ac:dyDescent="0.2">
      <c r="A364" s="29"/>
      <c r="B364" s="29"/>
      <c r="C364" s="32"/>
      <c r="D364" s="29"/>
      <c r="E364" s="34"/>
      <c r="F364" s="29"/>
      <c r="G364" s="45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</row>
    <row r="365" spans="1:18" x14ac:dyDescent="0.2">
      <c r="A365" s="29"/>
      <c r="B365" s="29"/>
      <c r="C365" s="32"/>
      <c r="D365" s="29"/>
      <c r="E365" s="34"/>
      <c r="F365" s="29"/>
      <c r="G365" s="45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</row>
    <row r="366" spans="1:18" x14ac:dyDescent="0.2">
      <c r="A366" s="29"/>
      <c r="B366" s="29"/>
      <c r="C366" s="32"/>
      <c r="D366" s="29"/>
      <c r="E366" s="34"/>
      <c r="F366" s="29"/>
      <c r="G366" s="45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</row>
    <row r="367" spans="1:18" x14ac:dyDescent="0.2">
      <c r="A367" s="29"/>
      <c r="B367" s="29"/>
      <c r="C367" s="32"/>
      <c r="D367" s="29"/>
      <c r="E367" s="34"/>
      <c r="F367" s="29"/>
      <c r="G367" s="45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</row>
    <row r="368" spans="1:18" x14ac:dyDescent="0.2">
      <c r="A368" s="29"/>
      <c r="B368" s="29"/>
      <c r="C368" s="32"/>
      <c r="D368" s="29"/>
      <c r="E368" s="34"/>
      <c r="F368" s="29"/>
      <c r="G368" s="45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</row>
    <row r="369" spans="1:18" x14ac:dyDescent="0.2">
      <c r="A369" s="29"/>
      <c r="B369" s="29"/>
      <c r="C369" s="32"/>
      <c r="D369" s="29"/>
      <c r="E369" s="34"/>
      <c r="F369" s="29"/>
      <c r="G369" s="45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</row>
    <row r="370" spans="1:18" x14ac:dyDescent="0.2">
      <c r="A370" s="29"/>
      <c r="B370" s="29"/>
      <c r="C370" s="32"/>
      <c r="D370" s="29"/>
      <c r="E370" s="34"/>
      <c r="F370" s="29"/>
      <c r="G370" s="45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</row>
    <row r="371" spans="1:18" x14ac:dyDescent="0.2">
      <c r="A371" s="29"/>
      <c r="B371" s="29"/>
      <c r="C371" s="32"/>
      <c r="D371" s="29"/>
      <c r="E371" s="34"/>
      <c r="F371" s="29"/>
      <c r="G371" s="45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</row>
    <row r="372" spans="1:18" x14ac:dyDescent="0.2">
      <c r="A372" s="29"/>
      <c r="B372" s="29"/>
      <c r="C372" s="32"/>
      <c r="D372" s="29"/>
      <c r="E372" s="34"/>
      <c r="F372" s="29"/>
      <c r="G372" s="45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</row>
    <row r="373" spans="1:18" x14ac:dyDescent="0.2">
      <c r="A373" s="29"/>
      <c r="B373" s="29"/>
      <c r="C373" s="32"/>
      <c r="D373" s="29"/>
      <c r="E373" s="34"/>
      <c r="F373" s="29"/>
      <c r="G373" s="45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</row>
    <row r="374" spans="1:18" x14ac:dyDescent="0.2">
      <c r="A374" s="29"/>
      <c r="B374" s="29"/>
      <c r="C374" s="32"/>
      <c r="D374" s="29"/>
      <c r="E374" s="34"/>
      <c r="F374" s="29"/>
      <c r="G374" s="45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</row>
    <row r="375" spans="1:18" x14ac:dyDescent="0.2">
      <c r="A375" s="29"/>
      <c r="B375" s="29"/>
      <c r="C375" s="32"/>
      <c r="D375" s="29"/>
      <c r="E375" s="34"/>
      <c r="F375" s="29"/>
      <c r="G375" s="45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</row>
    <row r="376" spans="1:18" x14ac:dyDescent="0.2">
      <c r="A376" s="29"/>
      <c r="B376" s="29"/>
      <c r="C376" s="32"/>
      <c r="D376" s="29"/>
      <c r="E376" s="34"/>
      <c r="F376" s="29"/>
      <c r="G376" s="45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</row>
    <row r="377" spans="1:18" x14ac:dyDescent="0.2">
      <c r="A377" s="29"/>
      <c r="B377" s="29"/>
      <c r="C377" s="32"/>
      <c r="D377" s="29"/>
      <c r="E377" s="34"/>
      <c r="F377" s="29"/>
      <c r="G377" s="45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</row>
    <row r="378" spans="1:18" x14ac:dyDescent="0.2">
      <c r="A378" s="29"/>
      <c r="B378" s="29"/>
      <c r="C378" s="32"/>
      <c r="D378" s="29"/>
      <c r="E378" s="34"/>
      <c r="F378" s="29"/>
      <c r="G378" s="45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</row>
    <row r="379" spans="1:18" x14ac:dyDescent="0.2">
      <c r="A379" s="29"/>
      <c r="B379" s="29"/>
      <c r="C379" s="32"/>
      <c r="D379" s="29"/>
      <c r="E379" s="34"/>
      <c r="F379" s="29"/>
      <c r="G379" s="45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</row>
    <row r="380" spans="1:18" x14ac:dyDescent="0.2">
      <c r="A380" s="29"/>
      <c r="B380" s="29"/>
      <c r="C380" s="32"/>
      <c r="D380" s="29"/>
      <c r="E380" s="34"/>
      <c r="F380" s="29"/>
      <c r="G380" s="45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</row>
    <row r="381" spans="1:18" x14ac:dyDescent="0.2">
      <c r="A381" s="29"/>
      <c r="B381" s="29"/>
      <c r="C381" s="32"/>
      <c r="D381" s="29"/>
      <c r="E381" s="34"/>
      <c r="F381" s="29"/>
      <c r="G381" s="45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</row>
    <row r="382" spans="1:18" x14ac:dyDescent="0.2">
      <c r="A382" s="29"/>
      <c r="B382" s="29"/>
      <c r="C382" s="32"/>
      <c r="D382" s="29"/>
      <c r="E382" s="34"/>
      <c r="F382" s="29"/>
      <c r="G382" s="45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</row>
    <row r="383" spans="1:18" x14ac:dyDescent="0.2">
      <c r="A383" s="29"/>
      <c r="B383" s="29"/>
      <c r="C383" s="32"/>
      <c r="D383" s="29"/>
      <c r="E383" s="34"/>
      <c r="F383" s="29"/>
      <c r="G383" s="45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</row>
    <row r="384" spans="1:18" x14ac:dyDescent="0.2">
      <c r="A384" s="29"/>
      <c r="B384" s="29"/>
      <c r="C384" s="32"/>
      <c r="D384" s="29"/>
      <c r="E384" s="34"/>
      <c r="F384" s="29"/>
      <c r="G384" s="45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</row>
    <row r="385" spans="1:18" x14ac:dyDescent="0.2">
      <c r="A385" s="29"/>
      <c r="B385" s="29"/>
      <c r="C385" s="32"/>
      <c r="D385" s="29"/>
      <c r="E385" s="34"/>
      <c r="F385" s="29"/>
      <c r="G385" s="45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</row>
    <row r="386" spans="1:18" x14ac:dyDescent="0.2">
      <c r="A386" s="29"/>
      <c r="B386" s="29"/>
      <c r="C386" s="32"/>
      <c r="D386" s="29"/>
      <c r="E386" s="34"/>
      <c r="F386" s="29"/>
      <c r="G386" s="45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</row>
    <row r="387" spans="1:18" x14ac:dyDescent="0.2">
      <c r="A387" s="29"/>
      <c r="B387" s="29"/>
      <c r="C387" s="32"/>
      <c r="D387" s="29"/>
      <c r="E387" s="34"/>
      <c r="F387" s="29"/>
      <c r="G387" s="45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</row>
    <row r="388" spans="1:18" x14ac:dyDescent="0.2">
      <c r="A388" s="29"/>
      <c r="B388" s="29"/>
      <c r="C388" s="32"/>
      <c r="D388" s="29"/>
      <c r="E388" s="34"/>
      <c r="F388" s="29"/>
      <c r="G388" s="45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</row>
    <row r="389" spans="1:18" x14ac:dyDescent="0.2">
      <c r="A389" s="29"/>
      <c r="B389" s="29"/>
      <c r="C389" s="32"/>
      <c r="D389" s="29"/>
      <c r="E389" s="34"/>
      <c r="F389" s="29"/>
      <c r="G389" s="45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</row>
    <row r="390" spans="1:18" x14ac:dyDescent="0.2">
      <c r="A390" s="29"/>
      <c r="B390" s="29"/>
      <c r="C390" s="32"/>
      <c r="D390" s="29"/>
      <c r="E390" s="34"/>
      <c r="F390" s="29"/>
      <c r="G390" s="45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</row>
    <row r="391" spans="1:18" x14ac:dyDescent="0.2">
      <c r="A391" s="29"/>
      <c r="B391" s="29"/>
      <c r="C391" s="32"/>
      <c r="D391" s="29"/>
      <c r="E391" s="34"/>
      <c r="F391" s="29"/>
      <c r="G391" s="45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</row>
    <row r="392" spans="1:18" x14ac:dyDescent="0.2">
      <c r="A392" s="29"/>
      <c r="B392" s="29"/>
      <c r="C392" s="32"/>
      <c r="D392" s="29"/>
      <c r="E392" s="34"/>
      <c r="F392" s="29"/>
      <c r="G392" s="45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</row>
    <row r="393" spans="1:18" x14ac:dyDescent="0.2">
      <c r="A393" s="29"/>
      <c r="B393" s="29"/>
      <c r="C393" s="32"/>
      <c r="D393" s="29"/>
      <c r="E393" s="34"/>
      <c r="F393" s="29"/>
      <c r="G393" s="45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</row>
    <row r="394" spans="1:18" x14ac:dyDescent="0.2">
      <c r="A394" s="29"/>
      <c r="B394" s="29"/>
      <c r="C394" s="32"/>
      <c r="D394" s="29"/>
      <c r="E394" s="34"/>
      <c r="F394" s="29"/>
      <c r="G394" s="45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</row>
    <row r="395" spans="1:18" x14ac:dyDescent="0.2">
      <c r="A395" s="29"/>
      <c r="B395" s="29"/>
      <c r="C395" s="32"/>
      <c r="D395" s="29"/>
      <c r="E395" s="34"/>
      <c r="F395" s="29"/>
      <c r="G395" s="45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</row>
    <row r="396" spans="1:18" x14ac:dyDescent="0.2">
      <c r="A396" s="29"/>
      <c r="B396" s="29"/>
      <c r="C396" s="32"/>
      <c r="D396" s="29"/>
      <c r="E396" s="34"/>
      <c r="F396" s="29"/>
      <c r="G396" s="45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</row>
    <row r="397" spans="1:18" x14ac:dyDescent="0.2">
      <c r="A397" s="29"/>
      <c r="B397" s="29"/>
      <c r="C397" s="32"/>
      <c r="D397" s="29"/>
      <c r="E397" s="34"/>
      <c r="F397" s="29"/>
      <c r="G397" s="45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</row>
    <row r="398" spans="1:18" x14ac:dyDescent="0.2">
      <c r="A398" s="29"/>
      <c r="B398" s="29"/>
      <c r="C398" s="32"/>
      <c r="D398" s="29"/>
      <c r="E398" s="34"/>
      <c r="F398" s="29"/>
      <c r="G398" s="45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</row>
    <row r="399" spans="1:18" x14ac:dyDescent="0.2">
      <c r="A399" s="29"/>
      <c r="B399" s="29"/>
      <c r="C399" s="32"/>
      <c r="D399" s="29"/>
      <c r="E399" s="34"/>
      <c r="F399" s="29"/>
      <c r="G399" s="45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</row>
    <row r="400" spans="1:18" x14ac:dyDescent="0.2">
      <c r="A400" s="29"/>
      <c r="B400" s="29"/>
      <c r="C400" s="32"/>
      <c r="D400" s="29"/>
      <c r="E400" s="34"/>
      <c r="F400" s="29"/>
      <c r="G400" s="45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</row>
    <row r="401" spans="1:18" x14ac:dyDescent="0.2">
      <c r="A401" s="29"/>
      <c r="B401" s="29"/>
      <c r="C401" s="32"/>
      <c r="D401" s="29"/>
      <c r="E401" s="34"/>
      <c r="F401" s="29"/>
      <c r="G401" s="45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</row>
    <row r="402" spans="1:18" x14ac:dyDescent="0.2">
      <c r="A402" s="29"/>
      <c r="B402" s="29"/>
      <c r="C402" s="32"/>
      <c r="D402" s="29"/>
      <c r="E402" s="34"/>
      <c r="F402" s="29"/>
      <c r="G402" s="45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</row>
    <row r="403" spans="1:18" x14ac:dyDescent="0.2">
      <c r="A403" s="29"/>
      <c r="B403" s="29"/>
      <c r="C403" s="32"/>
      <c r="D403" s="29"/>
      <c r="E403" s="34"/>
      <c r="F403" s="29"/>
      <c r="G403" s="45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</row>
    <row r="404" spans="1:18" x14ac:dyDescent="0.2">
      <c r="A404" s="29"/>
      <c r="B404" s="29"/>
      <c r="C404" s="32"/>
      <c r="D404" s="29"/>
      <c r="E404" s="34"/>
      <c r="F404" s="29"/>
      <c r="G404" s="45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</row>
    <row r="405" spans="1:18" x14ac:dyDescent="0.2">
      <c r="A405" s="29"/>
      <c r="B405" s="29"/>
      <c r="C405" s="32"/>
      <c r="D405" s="29"/>
      <c r="E405" s="34"/>
      <c r="F405" s="29"/>
      <c r="G405" s="45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</row>
    <row r="406" spans="1:18" x14ac:dyDescent="0.2">
      <c r="A406" s="29"/>
      <c r="B406" s="29"/>
      <c r="C406" s="32"/>
      <c r="D406" s="29"/>
      <c r="E406" s="34"/>
      <c r="F406" s="29"/>
      <c r="G406" s="45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</row>
    <row r="407" spans="1:18" x14ac:dyDescent="0.2">
      <c r="A407" s="29"/>
      <c r="B407" s="29"/>
      <c r="C407" s="32"/>
      <c r="D407" s="29"/>
      <c r="E407" s="34"/>
      <c r="F407" s="29"/>
      <c r="G407" s="45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</row>
    <row r="408" spans="1:18" x14ac:dyDescent="0.2">
      <c r="A408" s="29"/>
      <c r="B408" s="29"/>
      <c r="C408" s="32"/>
      <c r="D408" s="29"/>
      <c r="E408" s="34"/>
      <c r="F408" s="29"/>
      <c r="G408" s="45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</row>
    <row r="409" spans="1:18" x14ac:dyDescent="0.2">
      <c r="A409" s="29"/>
      <c r="B409" s="29"/>
      <c r="C409" s="32"/>
      <c r="D409" s="29"/>
      <c r="E409" s="34"/>
      <c r="F409" s="29"/>
      <c r="G409" s="45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</row>
    <row r="410" spans="1:18" x14ac:dyDescent="0.2">
      <c r="A410" s="29"/>
      <c r="B410" s="29"/>
      <c r="C410" s="32"/>
      <c r="D410" s="29"/>
      <c r="E410" s="34"/>
      <c r="F410" s="29"/>
      <c r="G410" s="45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</row>
    <row r="411" spans="1:18" x14ac:dyDescent="0.2">
      <c r="A411" s="29"/>
      <c r="B411" s="29"/>
      <c r="C411" s="32"/>
      <c r="D411" s="29"/>
      <c r="E411" s="34"/>
      <c r="F411" s="29"/>
      <c r="G411" s="45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</row>
    <row r="412" spans="1:18" x14ac:dyDescent="0.2">
      <c r="A412" s="29"/>
      <c r="B412" s="29"/>
      <c r="C412" s="32"/>
      <c r="D412" s="29"/>
      <c r="E412" s="34"/>
      <c r="F412" s="29"/>
      <c r="G412" s="45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</row>
    <row r="413" spans="1:18" x14ac:dyDescent="0.2">
      <c r="A413" s="29"/>
      <c r="B413" s="29"/>
      <c r="C413" s="32"/>
      <c r="D413" s="29"/>
      <c r="E413" s="34"/>
      <c r="F413" s="29"/>
      <c r="G413" s="45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</row>
    <row r="414" spans="1:18" x14ac:dyDescent="0.2">
      <c r="A414" s="29"/>
      <c r="B414" s="29"/>
      <c r="C414" s="32"/>
      <c r="D414" s="29"/>
      <c r="E414" s="34"/>
      <c r="F414" s="29"/>
      <c r="G414" s="45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</row>
    <row r="415" spans="1:18" x14ac:dyDescent="0.2">
      <c r="A415" s="29"/>
      <c r="B415" s="29"/>
      <c r="C415" s="32"/>
      <c r="D415" s="29"/>
      <c r="E415" s="34"/>
      <c r="F415" s="29"/>
      <c r="G415" s="45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</row>
    <row r="416" spans="1:18" x14ac:dyDescent="0.2">
      <c r="A416" s="29"/>
      <c r="B416" s="29"/>
      <c r="C416" s="32"/>
      <c r="D416" s="29"/>
      <c r="E416" s="34"/>
      <c r="F416" s="29"/>
      <c r="G416" s="45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</row>
    <row r="417" spans="1:18" x14ac:dyDescent="0.2">
      <c r="A417" s="29"/>
      <c r="B417" s="29"/>
      <c r="C417" s="32"/>
      <c r="D417" s="29"/>
      <c r="E417" s="34"/>
      <c r="F417" s="29"/>
      <c r="G417" s="45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</row>
    <row r="418" spans="1:18" x14ac:dyDescent="0.2">
      <c r="A418" s="29"/>
      <c r="B418" s="29"/>
      <c r="C418" s="32"/>
      <c r="D418" s="29"/>
      <c r="E418" s="34"/>
      <c r="F418" s="29"/>
      <c r="G418" s="45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</row>
    <row r="419" spans="1:18" x14ac:dyDescent="0.2">
      <c r="A419" s="29"/>
      <c r="B419" s="29"/>
      <c r="C419" s="32"/>
      <c r="D419" s="29"/>
      <c r="E419" s="34"/>
      <c r="F419" s="29"/>
      <c r="G419" s="45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</row>
    <row r="420" spans="1:18" x14ac:dyDescent="0.2">
      <c r="A420" s="29"/>
      <c r="B420" s="29"/>
      <c r="C420" s="32"/>
      <c r="D420" s="29"/>
      <c r="E420" s="34"/>
      <c r="F420" s="29"/>
      <c r="G420" s="45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</row>
    <row r="421" spans="1:18" x14ac:dyDescent="0.2">
      <c r="A421" s="29"/>
      <c r="B421" s="29"/>
      <c r="C421" s="32"/>
      <c r="D421" s="29"/>
      <c r="E421" s="34"/>
      <c r="F421" s="29"/>
      <c r="G421" s="45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</row>
    <row r="422" spans="1:18" x14ac:dyDescent="0.2">
      <c r="A422" s="29"/>
      <c r="B422" s="29"/>
      <c r="C422" s="32"/>
      <c r="D422" s="29"/>
      <c r="E422" s="34"/>
      <c r="F422" s="29"/>
      <c r="G422" s="45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</row>
    <row r="423" spans="1:18" x14ac:dyDescent="0.2">
      <c r="A423" s="29"/>
      <c r="B423" s="29"/>
      <c r="C423" s="32"/>
      <c r="D423" s="29"/>
      <c r="E423" s="34"/>
      <c r="F423" s="29"/>
      <c r="G423" s="45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</row>
    <row r="424" spans="1:18" x14ac:dyDescent="0.2">
      <c r="A424" s="29"/>
      <c r="B424" s="29"/>
      <c r="C424" s="32"/>
      <c r="D424" s="29"/>
      <c r="E424" s="34"/>
      <c r="F424" s="29"/>
      <c r="G424" s="45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</row>
    <row r="425" spans="1:18" x14ac:dyDescent="0.2">
      <c r="A425" s="29"/>
      <c r="B425" s="29"/>
      <c r="C425" s="32"/>
      <c r="D425" s="29"/>
      <c r="E425" s="34"/>
      <c r="F425" s="29"/>
      <c r="G425" s="45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</row>
    <row r="426" spans="1:18" x14ac:dyDescent="0.2">
      <c r="A426" s="29"/>
      <c r="B426" s="29"/>
      <c r="C426" s="32"/>
      <c r="D426" s="29"/>
      <c r="E426" s="34"/>
      <c r="F426" s="29"/>
      <c r="G426" s="45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</row>
    <row r="427" spans="1:18" x14ac:dyDescent="0.2">
      <c r="A427" s="29"/>
      <c r="B427" s="29"/>
      <c r="C427" s="32"/>
      <c r="D427" s="29"/>
      <c r="E427" s="34"/>
      <c r="F427" s="29"/>
      <c r="G427" s="45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</row>
    <row r="428" spans="1:18" x14ac:dyDescent="0.2">
      <c r="A428" s="29"/>
      <c r="B428" s="29"/>
      <c r="C428" s="32"/>
      <c r="D428" s="29"/>
      <c r="E428" s="34"/>
      <c r="F428" s="29"/>
      <c r="G428" s="45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</row>
    <row r="429" spans="1:18" x14ac:dyDescent="0.2">
      <c r="A429" s="29"/>
      <c r="B429" s="29"/>
      <c r="C429" s="32"/>
      <c r="D429" s="29"/>
      <c r="E429" s="34"/>
      <c r="F429" s="29"/>
      <c r="G429" s="45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</row>
    <row r="430" spans="1:18" x14ac:dyDescent="0.2">
      <c r="A430" s="29"/>
      <c r="B430" s="29"/>
      <c r="C430" s="32"/>
      <c r="D430" s="29"/>
      <c r="E430" s="34"/>
      <c r="F430" s="29"/>
      <c r="G430" s="45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</row>
    <row r="431" spans="1:18" x14ac:dyDescent="0.2">
      <c r="A431" s="29"/>
      <c r="B431" s="29"/>
      <c r="C431" s="32"/>
      <c r="D431" s="29"/>
      <c r="E431" s="34"/>
      <c r="F431" s="29"/>
      <c r="G431" s="45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</row>
    <row r="432" spans="1:18" x14ac:dyDescent="0.2">
      <c r="A432" s="29"/>
      <c r="B432" s="29"/>
      <c r="C432" s="32"/>
      <c r="D432" s="29"/>
      <c r="E432" s="34"/>
      <c r="F432" s="29"/>
      <c r="G432" s="45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</row>
    <row r="433" spans="1:18" x14ac:dyDescent="0.2">
      <c r="A433" s="29"/>
      <c r="B433" s="29"/>
      <c r="C433" s="32"/>
      <c r="D433" s="29"/>
      <c r="E433" s="34"/>
      <c r="F433" s="29"/>
      <c r="G433" s="45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</row>
    <row r="434" spans="1:18" x14ac:dyDescent="0.2">
      <c r="A434" s="29"/>
      <c r="B434" s="29"/>
      <c r="C434" s="32"/>
      <c r="D434" s="29"/>
      <c r="E434" s="34"/>
      <c r="F434" s="29"/>
      <c r="G434" s="45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</row>
    <row r="435" spans="1:18" x14ac:dyDescent="0.2">
      <c r="A435" s="29"/>
      <c r="B435" s="29"/>
      <c r="C435" s="32"/>
      <c r="D435" s="29"/>
      <c r="E435" s="34"/>
      <c r="F435" s="29"/>
      <c r="G435" s="45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</row>
    <row r="436" spans="1:18" x14ac:dyDescent="0.2">
      <c r="A436" s="29"/>
      <c r="B436" s="29"/>
      <c r="C436" s="32"/>
      <c r="D436" s="29"/>
      <c r="E436" s="34"/>
      <c r="F436" s="29"/>
      <c r="G436" s="45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</row>
    <row r="437" spans="1:18" x14ac:dyDescent="0.2">
      <c r="A437" s="29"/>
      <c r="B437" s="29"/>
      <c r="C437" s="32"/>
      <c r="D437" s="29"/>
      <c r="E437" s="34"/>
      <c r="F437" s="29"/>
      <c r="G437" s="45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</row>
    <row r="438" spans="1:18" x14ac:dyDescent="0.2">
      <c r="A438" s="29"/>
      <c r="B438" s="29"/>
      <c r="C438" s="32"/>
      <c r="D438" s="29"/>
      <c r="E438" s="34"/>
      <c r="F438" s="29"/>
      <c r="G438" s="45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</row>
    <row r="439" spans="1:18" x14ac:dyDescent="0.2">
      <c r="A439" s="29"/>
      <c r="B439" s="29"/>
      <c r="C439" s="32"/>
      <c r="D439" s="29"/>
      <c r="E439" s="34"/>
      <c r="F439" s="29"/>
      <c r="G439" s="45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</row>
    <row r="440" spans="1:18" x14ac:dyDescent="0.2">
      <c r="A440" s="29"/>
      <c r="B440" s="29"/>
      <c r="C440" s="32"/>
      <c r="D440" s="29"/>
      <c r="E440" s="34"/>
      <c r="F440" s="29"/>
      <c r="G440" s="45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</row>
    <row r="441" spans="1:18" x14ac:dyDescent="0.2">
      <c r="A441" s="29"/>
      <c r="B441" s="29"/>
      <c r="C441" s="32"/>
      <c r="D441" s="29"/>
      <c r="E441" s="34"/>
      <c r="F441" s="29"/>
      <c r="G441" s="45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</row>
    <row r="442" spans="1:18" x14ac:dyDescent="0.2">
      <c r="A442" s="29"/>
      <c r="B442" s="29"/>
      <c r="C442" s="32"/>
      <c r="D442" s="29"/>
      <c r="E442" s="34"/>
      <c r="F442" s="29"/>
      <c r="G442" s="45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</row>
    <row r="443" spans="1:18" x14ac:dyDescent="0.2">
      <c r="A443" s="29"/>
      <c r="B443" s="29"/>
      <c r="C443" s="32"/>
      <c r="D443" s="29"/>
      <c r="E443" s="34"/>
      <c r="F443" s="29"/>
      <c r="G443" s="45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</row>
    <row r="444" spans="1:18" x14ac:dyDescent="0.2">
      <c r="A444" s="29"/>
      <c r="B444" s="29"/>
      <c r="C444" s="32"/>
      <c r="D444" s="29"/>
      <c r="E444" s="34"/>
      <c r="F444" s="29"/>
      <c r="G444" s="45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</row>
    <row r="445" spans="1:18" x14ac:dyDescent="0.2">
      <c r="A445" s="29"/>
      <c r="B445" s="29"/>
      <c r="C445" s="32"/>
      <c r="D445" s="29"/>
      <c r="E445" s="34"/>
      <c r="F445" s="29"/>
      <c r="G445" s="45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</row>
    <row r="446" spans="1:18" x14ac:dyDescent="0.2">
      <c r="A446" s="29"/>
      <c r="B446" s="29"/>
      <c r="C446" s="32"/>
      <c r="D446" s="29"/>
      <c r="E446" s="34"/>
      <c r="F446" s="29"/>
      <c r="G446" s="45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</row>
    <row r="447" spans="1:18" x14ac:dyDescent="0.2">
      <c r="A447" s="29"/>
      <c r="B447" s="29"/>
      <c r="C447" s="32"/>
      <c r="D447" s="29"/>
      <c r="E447" s="34"/>
      <c r="F447" s="29"/>
      <c r="G447" s="45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</row>
    <row r="448" spans="1:18" x14ac:dyDescent="0.2">
      <c r="A448" s="29"/>
      <c r="B448" s="29"/>
      <c r="C448" s="32"/>
      <c r="D448" s="29"/>
      <c r="E448" s="34"/>
      <c r="F448" s="29"/>
      <c r="G448" s="45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</row>
    <row r="449" spans="1:18" x14ac:dyDescent="0.2">
      <c r="A449" s="29"/>
      <c r="B449" s="29"/>
      <c r="C449" s="32"/>
      <c r="D449" s="29"/>
      <c r="E449" s="34"/>
      <c r="F449" s="29"/>
      <c r="G449" s="45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</row>
    <row r="450" spans="1:18" x14ac:dyDescent="0.2">
      <c r="A450" s="29"/>
      <c r="B450" s="29"/>
      <c r="C450" s="32"/>
      <c r="D450" s="29"/>
      <c r="E450" s="34"/>
      <c r="F450" s="29"/>
      <c r="G450" s="45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</row>
    <row r="451" spans="1:18" x14ac:dyDescent="0.2">
      <c r="A451" s="29"/>
      <c r="B451" s="29"/>
      <c r="C451" s="32"/>
      <c r="D451" s="29"/>
      <c r="E451" s="34"/>
      <c r="F451" s="29"/>
      <c r="G451" s="45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</row>
    <row r="452" spans="1:18" x14ac:dyDescent="0.2">
      <c r="A452" s="29"/>
      <c r="B452" s="29"/>
      <c r="C452" s="32"/>
      <c r="D452" s="29"/>
      <c r="E452" s="34"/>
      <c r="F452" s="29"/>
      <c r="G452" s="45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</row>
    <row r="453" spans="1:18" x14ac:dyDescent="0.2">
      <c r="A453" s="29"/>
      <c r="B453" s="29"/>
      <c r="C453" s="32"/>
      <c r="D453" s="29"/>
      <c r="E453" s="34"/>
      <c r="F453" s="29"/>
      <c r="G453" s="45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</row>
    <row r="454" spans="1:18" x14ac:dyDescent="0.2">
      <c r="A454" s="29"/>
      <c r="B454" s="29"/>
      <c r="C454" s="32"/>
      <c r="D454" s="29"/>
      <c r="E454" s="34"/>
      <c r="F454" s="29"/>
      <c r="G454" s="45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</row>
    <row r="455" spans="1:18" x14ac:dyDescent="0.2">
      <c r="A455" s="29"/>
      <c r="B455" s="29"/>
      <c r="C455" s="32"/>
      <c r="D455" s="29"/>
      <c r="E455" s="34"/>
      <c r="F455" s="29"/>
      <c r="G455" s="45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</row>
    <row r="456" spans="1:18" x14ac:dyDescent="0.2">
      <c r="A456" s="29"/>
      <c r="B456" s="29"/>
      <c r="C456" s="32"/>
      <c r="D456" s="29"/>
      <c r="E456" s="34"/>
      <c r="F456" s="29"/>
      <c r="G456" s="45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</row>
    <row r="457" spans="1:18" x14ac:dyDescent="0.2">
      <c r="A457" s="29"/>
      <c r="B457" s="29"/>
      <c r="C457" s="32"/>
      <c r="D457" s="29"/>
      <c r="E457" s="34"/>
      <c r="F457" s="29"/>
      <c r="G457" s="45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</row>
    <row r="458" spans="1:18" x14ac:dyDescent="0.2">
      <c r="A458" s="29"/>
      <c r="B458" s="29"/>
      <c r="C458" s="32"/>
      <c r="D458" s="29"/>
      <c r="E458" s="34"/>
      <c r="F458" s="29"/>
      <c r="G458" s="45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</row>
    <row r="459" spans="1:18" x14ac:dyDescent="0.2">
      <c r="A459" s="29"/>
      <c r="B459" s="29"/>
      <c r="C459" s="32"/>
      <c r="D459" s="29"/>
      <c r="E459" s="34"/>
      <c r="F459" s="29"/>
      <c r="G459" s="45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</row>
    <row r="460" spans="1:18" x14ac:dyDescent="0.2">
      <c r="A460" s="29"/>
      <c r="B460" s="29"/>
      <c r="C460" s="32"/>
      <c r="D460" s="29"/>
      <c r="E460" s="34"/>
      <c r="F460" s="29"/>
      <c r="G460" s="45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</row>
    <row r="461" spans="1:18" x14ac:dyDescent="0.2">
      <c r="A461" s="29"/>
      <c r="B461" s="29"/>
      <c r="C461" s="32"/>
      <c r="D461" s="29"/>
      <c r="E461" s="34"/>
      <c r="F461" s="29"/>
      <c r="G461" s="45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</row>
    <row r="462" spans="1:18" x14ac:dyDescent="0.2">
      <c r="A462" s="29"/>
      <c r="B462" s="29"/>
      <c r="C462" s="32"/>
      <c r="D462" s="29"/>
      <c r="E462" s="34"/>
      <c r="F462" s="29"/>
      <c r="G462" s="45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</row>
    <row r="463" spans="1:18" x14ac:dyDescent="0.2">
      <c r="A463" s="29"/>
      <c r="B463" s="29"/>
      <c r="C463" s="32"/>
      <c r="D463" s="29"/>
      <c r="E463" s="34"/>
      <c r="F463" s="29"/>
      <c r="G463" s="45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</row>
    <row r="464" spans="1:18" x14ac:dyDescent="0.2">
      <c r="A464" s="29"/>
      <c r="B464" s="29"/>
      <c r="C464" s="32"/>
      <c r="D464" s="29"/>
      <c r="E464" s="34"/>
      <c r="F464" s="29"/>
      <c r="G464" s="45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</row>
    <row r="465" spans="1:18" x14ac:dyDescent="0.2">
      <c r="A465" s="29"/>
      <c r="B465" s="29"/>
      <c r="C465" s="32"/>
      <c r="D465" s="29"/>
      <c r="E465" s="34"/>
      <c r="F465" s="29"/>
      <c r="G465" s="45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</row>
    <row r="466" spans="1:18" x14ac:dyDescent="0.2">
      <c r="A466" s="29"/>
      <c r="B466" s="29"/>
      <c r="C466" s="32"/>
      <c r="D466" s="29"/>
      <c r="E466" s="34"/>
      <c r="F466" s="29"/>
      <c r="G466" s="45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</row>
    <row r="467" spans="1:18" x14ac:dyDescent="0.2">
      <c r="A467" s="29"/>
      <c r="B467" s="29"/>
      <c r="C467" s="32"/>
      <c r="D467" s="29"/>
      <c r="E467" s="34"/>
      <c r="F467" s="29"/>
      <c r="G467" s="45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</row>
    <row r="468" spans="1:18" x14ac:dyDescent="0.2">
      <c r="A468" s="29"/>
      <c r="B468" s="29"/>
      <c r="C468" s="32"/>
      <c r="D468" s="29"/>
      <c r="E468" s="34"/>
      <c r="F468" s="29"/>
      <c r="G468" s="45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</row>
    <row r="469" spans="1:18" x14ac:dyDescent="0.2">
      <c r="A469" s="29"/>
      <c r="B469" s="29"/>
      <c r="C469" s="32"/>
      <c r="D469" s="29"/>
      <c r="E469" s="34"/>
      <c r="F469" s="29"/>
      <c r="G469" s="45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</row>
    <row r="470" spans="1:18" x14ac:dyDescent="0.2">
      <c r="A470" s="29"/>
      <c r="B470" s="29"/>
      <c r="C470" s="32"/>
      <c r="D470" s="29"/>
      <c r="E470" s="34"/>
      <c r="F470" s="29"/>
      <c r="G470" s="45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</row>
    <row r="471" spans="1:18" x14ac:dyDescent="0.2">
      <c r="A471" s="29"/>
      <c r="B471" s="29"/>
      <c r="C471" s="32"/>
      <c r="D471" s="29"/>
      <c r="E471" s="34"/>
      <c r="F471" s="29"/>
      <c r="G471" s="45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</row>
    <row r="472" spans="1:18" x14ac:dyDescent="0.2">
      <c r="A472" s="29"/>
      <c r="B472" s="29"/>
      <c r="C472" s="32"/>
      <c r="D472" s="29"/>
      <c r="E472" s="34"/>
      <c r="F472" s="29"/>
      <c r="G472" s="45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</row>
    <row r="473" spans="1:18" x14ac:dyDescent="0.2">
      <c r="A473" s="29"/>
      <c r="B473" s="29"/>
      <c r="C473" s="32"/>
      <c r="D473" s="29"/>
      <c r="E473" s="34"/>
      <c r="F473" s="29"/>
      <c r="G473" s="45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</row>
    <row r="474" spans="1:18" x14ac:dyDescent="0.2">
      <c r="A474" s="29"/>
      <c r="B474" s="29"/>
      <c r="C474" s="32"/>
      <c r="D474" s="29"/>
      <c r="E474" s="34"/>
      <c r="F474" s="29"/>
      <c r="G474" s="45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</row>
    <row r="475" spans="1:18" x14ac:dyDescent="0.2">
      <c r="A475" s="29"/>
      <c r="B475" s="29"/>
      <c r="C475" s="32"/>
      <c r="D475" s="29"/>
      <c r="E475" s="34"/>
      <c r="F475" s="29"/>
      <c r="G475" s="45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</row>
    <row r="476" spans="1:18" x14ac:dyDescent="0.2">
      <c r="A476" s="29"/>
      <c r="B476" s="29"/>
      <c r="C476" s="32"/>
      <c r="D476" s="29"/>
      <c r="E476" s="34"/>
      <c r="F476" s="29"/>
      <c r="G476" s="45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</row>
    <row r="477" spans="1:18" x14ac:dyDescent="0.2">
      <c r="A477" s="29"/>
      <c r="B477" s="29"/>
      <c r="C477" s="32"/>
      <c r="D477" s="29"/>
      <c r="E477" s="34"/>
      <c r="F477" s="29"/>
      <c r="G477" s="45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</row>
    <row r="478" spans="1:18" x14ac:dyDescent="0.2">
      <c r="A478" s="29"/>
      <c r="B478" s="29"/>
      <c r="C478" s="32"/>
      <c r="D478" s="29"/>
      <c r="E478" s="34"/>
      <c r="F478" s="29"/>
      <c r="G478" s="45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</row>
    <row r="479" spans="1:18" x14ac:dyDescent="0.2">
      <c r="A479" s="29"/>
      <c r="B479" s="29"/>
      <c r="C479" s="32"/>
      <c r="D479" s="29"/>
      <c r="E479" s="34"/>
      <c r="F479" s="29"/>
      <c r="G479" s="45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</row>
    <row r="480" spans="1:18" x14ac:dyDescent="0.2">
      <c r="A480" s="29"/>
      <c r="B480" s="29"/>
      <c r="C480" s="32"/>
      <c r="D480" s="29"/>
      <c r="E480" s="34"/>
      <c r="F480" s="29"/>
      <c r="G480" s="45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</row>
    <row r="481" spans="1:18" x14ac:dyDescent="0.2">
      <c r="A481" s="29"/>
      <c r="B481" s="29"/>
      <c r="C481" s="32"/>
      <c r="D481" s="29"/>
      <c r="E481" s="34"/>
      <c r="F481" s="29"/>
      <c r="G481" s="45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</row>
    <row r="482" spans="1:18" x14ac:dyDescent="0.2">
      <c r="A482" s="29"/>
      <c r="B482" s="29"/>
      <c r="C482" s="32"/>
      <c r="D482" s="29"/>
      <c r="E482" s="34"/>
      <c r="F482" s="29"/>
      <c r="G482" s="45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</row>
    <row r="483" spans="1:18" x14ac:dyDescent="0.2">
      <c r="A483" s="29"/>
      <c r="B483" s="29"/>
      <c r="C483" s="32"/>
      <c r="D483" s="29"/>
      <c r="E483" s="34"/>
      <c r="F483" s="29"/>
      <c r="G483" s="45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</row>
    <row r="484" spans="1:18" x14ac:dyDescent="0.2">
      <c r="A484" s="29"/>
      <c r="B484" s="29"/>
      <c r="C484" s="32"/>
      <c r="D484" s="29"/>
      <c r="E484" s="34"/>
      <c r="F484" s="29"/>
      <c r="G484" s="45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</row>
    <row r="485" spans="1:18" x14ac:dyDescent="0.2">
      <c r="A485" s="29"/>
      <c r="B485" s="29"/>
      <c r="C485" s="32"/>
      <c r="D485" s="29"/>
      <c r="E485" s="34"/>
      <c r="F485" s="29"/>
      <c r="G485" s="45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</row>
    <row r="486" spans="1:18" x14ac:dyDescent="0.2">
      <c r="A486" s="29"/>
      <c r="B486" s="29"/>
      <c r="C486" s="32"/>
      <c r="D486" s="29"/>
      <c r="E486" s="34"/>
      <c r="F486" s="29"/>
      <c r="G486" s="45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</row>
    <row r="487" spans="1:18" x14ac:dyDescent="0.2">
      <c r="A487" s="29"/>
      <c r="B487" s="29"/>
      <c r="C487" s="32"/>
      <c r="D487" s="29"/>
      <c r="E487" s="34"/>
      <c r="F487" s="29"/>
      <c r="G487" s="45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</row>
    <row r="488" spans="1:18" x14ac:dyDescent="0.2">
      <c r="A488" s="29"/>
      <c r="B488" s="29"/>
      <c r="C488" s="32"/>
      <c r="D488" s="29"/>
      <c r="E488" s="34"/>
      <c r="F488" s="29"/>
      <c r="G488" s="45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</row>
    <row r="489" spans="1:18" x14ac:dyDescent="0.2">
      <c r="A489" s="29"/>
      <c r="B489" s="29"/>
      <c r="C489" s="32"/>
      <c r="D489" s="29"/>
      <c r="E489" s="34"/>
      <c r="F489" s="29"/>
      <c r="G489" s="45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</row>
    <row r="490" spans="1:18" x14ac:dyDescent="0.2">
      <c r="A490" s="29"/>
      <c r="B490" s="29"/>
      <c r="C490" s="32"/>
      <c r="D490" s="29"/>
      <c r="E490" s="34"/>
      <c r="F490" s="29"/>
      <c r="G490" s="45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</row>
    <row r="491" spans="1:18" x14ac:dyDescent="0.2">
      <c r="A491" s="29"/>
      <c r="B491" s="29"/>
      <c r="C491" s="32"/>
      <c r="D491" s="29"/>
      <c r="E491" s="34"/>
      <c r="F491" s="29"/>
      <c r="G491" s="45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</row>
    <row r="492" spans="1:18" x14ac:dyDescent="0.2">
      <c r="A492" s="29"/>
      <c r="B492" s="29"/>
      <c r="C492" s="32"/>
      <c r="D492" s="29"/>
      <c r="E492" s="34"/>
      <c r="F492" s="29"/>
      <c r="G492" s="45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</row>
    <row r="493" spans="1:18" x14ac:dyDescent="0.2">
      <c r="A493" s="29"/>
      <c r="B493" s="29"/>
      <c r="C493" s="32"/>
      <c r="D493" s="29"/>
      <c r="E493" s="34"/>
      <c r="F493" s="29"/>
      <c r="G493" s="45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</row>
    <row r="494" spans="1:18" x14ac:dyDescent="0.2">
      <c r="A494" s="29"/>
      <c r="B494" s="29"/>
      <c r="C494" s="32"/>
      <c r="D494" s="29"/>
      <c r="E494" s="34"/>
      <c r="F494" s="29"/>
      <c r="G494" s="45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</row>
    <row r="495" spans="1:18" x14ac:dyDescent="0.2">
      <c r="A495" s="29"/>
      <c r="B495" s="29"/>
      <c r="C495" s="32"/>
      <c r="D495" s="29"/>
      <c r="E495" s="34"/>
      <c r="F495" s="29"/>
      <c r="G495" s="45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</row>
    <row r="496" spans="1:18" x14ac:dyDescent="0.2">
      <c r="A496" s="29"/>
      <c r="B496" s="29"/>
      <c r="C496" s="32"/>
      <c r="D496" s="29"/>
      <c r="E496" s="34"/>
      <c r="F496" s="29"/>
      <c r="G496" s="45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</row>
    <row r="497" spans="1:18" x14ac:dyDescent="0.2">
      <c r="A497" s="29"/>
      <c r="B497" s="29"/>
      <c r="C497" s="32"/>
      <c r="D497" s="29"/>
      <c r="E497" s="34"/>
      <c r="F497" s="29"/>
      <c r="G497" s="45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</row>
    <row r="498" spans="1:18" x14ac:dyDescent="0.2">
      <c r="A498" s="29"/>
      <c r="B498" s="29"/>
      <c r="C498" s="32"/>
      <c r="D498" s="29"/>
      <c r="E498" s="34"/>
      <c r="F498" s="29"/>
      <c r="G498" s="45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</row>
    <row r="499" spans="1:18" x14ac:dyDescent="0.2">
      <c r="A499" s="29"/>
      <c r="B499" s="29"/>
      <c r="C499" s="32"/>
      <c r="D499" s="29"/>
      <c r="E499" s="34"/>
      <c r="F499" s="29"/>
      <c r="G499" s="45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</row>
    <row r="500" spans="1:18" x14ac:dyDescent="0.2">
      <c r="A500" s="29"/>
      <c r="B500" s="29"/>
      <c r="C500" s="32"/>
      <c r="D500" s="29"/>
      <c r="E500" s="34"/>
      <c r="F500" s="29"/>
      <c r="G500" s="45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</row>
    <row r="501" spans="1:18" x14ac:dyDescent="0.2">
      <c r="A501" s="29"/>
      <c r="B501" s="29"/>
      <c r="C501" s="32"/>
      <c r="D501" s="29"/>
      <c r="E501" s="34"/>
      <c r="F501" s="29"/>
      <c r="G501" s="45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</row>
    <row r="502" spans="1:18" x14ac:dyDescent="0.2">
      <c r="A502" s="29"/>
      <c r="B502" s="29"/>
      <c r="C502" s="32"/>
      <c r="D502" s="29"/>
      <c r="E502" s="34"/>
      <c r="F502" s="29"/>
      <c r="G502" s="45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</row>
    <row r="503" spans="1:18" x14ac:dyDescent="0.2">
      <c r="A503" s="29"/>
      <c r="B503" s="29"/>
      <c r="C503" s="32"/>
      <c r="D503" s="29"/>
      <c r="E503" s="34"/>
      <c r="F503" s="29"/>
      <c r="G503" s="45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</row>
    <row r="504" spans="1:18" x14ac:dyDescent="0.2">
      <c r="A504" s="29"/>
      <c r="B504" s="29"/>
      <c r="C504" s="32"/>
      <c r="D504" s="29"/>
      <c r="E504" s="34"/>
      <c r="F504" s="29"/>
      <c r="G504" s="45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</row>
    <row r="505" spans="1:18" x14ac:dyDescent="0.2">
      <c r="A505" s="29"/>
      <c r="B505" s="29"/>
      <c r="C505" s="32"/>
      <c r="D505" s="29"/>
      <c r="E505" s="34"/>
      <c r="F505" s="29"/>
      <c r="G505" s="45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</row>
    <row r="506" spans="1:18" x14ac:dyDescent="0.2">
      <c r="A506" s="29"/>
      <c r="B506" s="29"/>
      <c r="C506" s="32"/>
      <c r="D506" s="29"/>
      <c r="E506" s="34"/>
      <c r="F506" s="29"/>
      <c r="G506" s="45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</row>
    <row r="507" spans="1:18" x14ac:dyDescent="0.2">
      <c r="A507" s="29"/>
      <c r="B507" s="29"/>
      <c r="C507" s="32"/>
      <c r="D507" s="29"/>
      <c r="E507" s="34"/>
      <c r="F507" s="29"/>
      <c r="G507" s="45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</row>
    <row r="508" spans="1:18" x14ac:dyDescent="0.2">
      <c r="A508" s="29"/>
      <c r="B508" s="29"/>
      <c r="C508" s="32"/>
      <c r="D508" s="29"/>
      <c r="E508" s="34"/>
      <c r="F508" s="29"/>
      <c r="G508" s="45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</row>
    <row r="509" spans="1:18" x14ac:dyDescent="0.2">
      <c r="A509" s="29"/>
      <c r="B509" s="29"/>
      <c r="C509" s="32"/>
      <c r="D509" s="29"/>
      <c r="E509" s="34"/>
      <c r="F509" s="29"/>
      <c r="G509" s="45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</row>
    <row r="510" spans="1:18" x14ac:dyDescent="0.2">
      <c r="A510" s="29"/>
      <c r="B510" s="29"/>
      <c r="C510" s="32"/>
      <c r="D510" s="29"/>
      <c r="E510" s="34"/>
      <c r="F510" s="29"/>
      <c r="G510" s="45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</row>
    <row r="511" spans="1:18" x14ac:dyDescent="0.2">
      <c r="A511" s="29"/>
      <c r="B511" s="29"/>
      <c r="C511" s="32"/>
      <c r="D511" s="29"/>
      <c r="E511" s="34"/>
      <c r="F511" s="29"/>
      <c r="G511" s="45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</row>
    <row r="512" spans="1:18" x14ac:dyDescent="0.2">
      <c r="A512" s="29"/>
      <c r="B512" s="29"/>
      <c r="C512" s="32"/>
      <c r="D512" s="29"/>
      <c r="E512" s="34"/>
      <c r="F512" s="29"/>
      <c r="G512" s="45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</row>
    <row r="513" spans="1:18" x14ac:dyDescent="0.2">
      <c r="A513" s="29"/>
      <c r="B513" s="29"/>
      <c r="C513" s="32"/>
      <c r="D513" s="29"/>
      <c r="E513" s="34"/>
      <c r="F513" s="29"/>
      <c r="G513" s="45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</row>
    <row r="514" spans="1:18" x14ac:dyDescent="0.2">
      <c r="A514" s="29"/>
      <c r="B514" s="29"/>
      <c r="C514" s="32"/>
      <c r="D514" s="29"/>
      <c r="E514" s="34"/>
      <c r="F514" s="29"/>
      <c r="G514" s="45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</row>
    <row r="515" spans="1:18" x14ac:dyDescent="0.2">
      <c r="A515" s="29"/>
      <c r="B515" s="29"/>
      <c r="C515" s="32"/>
      <c r="D515" s="29"/>
      <c r="E515" s="34"/>
      <c r="F515" s="29"/>
      <c r="G515" s="45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</row>
    <row r="516" spans="1:18" x14ac:dyDescent="0.2">
      <c r="A516" s="29"/>
      <c r="B516" s="29"/>
      <c r="C516" s="32"/>
      <c r="D516" s="29"/>
      <c r="E516" s="34"/>
      <c r="F516" s="29"/>
      <c r="G516" s="45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</row>
    <row r="517" spans="1:18" x14ac:dyDescent="0.2">
      <c r="A517" s="29"/>
      <c r="B517" s="29"/>
      <c r="C517" s="32"/>
      <c r="D517" s="29"/>
      <c r="E517" s="34"/>
      <c r="F517" s="29"/>
      <c r="G517" s="45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</row>
    <row r="518" spans="1:18" x14ac:dyDescent="0.2">
      <c r="A518" s="29"/>
      <c r="B518" s="29"/>
      <c r="C518" s="32"/>
      <c r="D518" s="29"/>
      <c r="E518" s="34"/>
      <c r="F518" s="29"/>
      <c r="G518" s="45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</row>
    <row r="519" spans="1:18" x14ac:dyDescent="0.2">
      <c r="A519" s="29"/>
      <c r="B519" s="29"/>
      <c r="C519" s="32"/>
      <c r="D519" s="29"/>
      <c r="E519" s="34"/>
      <c r="F519" s="29"/>
      <c r="G519" s="45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</row>
    <row r="520" spans="1:18" x14ac:dyDescent="0.2">
      <c r="A520" s="29"/>
      <c r="B520" s="29"/>
      <c r="C520" s="32"/>
      <c r="D520" s="29"/>
      <c r="E520" s="34"/>
      <c r="F520" s="29"/>
      <c r="G520" s="45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</row>
    <row r="521" spans="1:18" x14ac:dyDescent="0.2">
      <c r="A521" s="29"/>
      <c r="B521" s="29"/>
      <c r="C521" s="32"/>
      <c r="D521" s="29"/>
      <c r="E521" s="34"/>
      <c r="F521" s="29"/>
      <c r="G521" s="45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</row>
    <row r="522" spans="1:18" x14ac:dyDescent="0.2">
      <c r="A522" s="29"/>
      <c r="B522" s="29"/>
      <c r="C522" s="32"/>
      <c r="D522" s="29"/>
      <c r="E522" s="34"/>
      <c r="F522" s="29"/>
      <c r="G522" s="45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</row>
    <row r="523" spans="1:18" x14ac:dyDescent="0.2">
      <c r="A523" s="29"/>
      <c r="B523" s="29"/>
      <c r="C523" s="32"/>
      <c r="D523" s="29"/>
      <c r="E523" s="34"/>
      <c r="F523" s="29"/>
      <c r="G523" s="45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</row>
    <row r="524" spans="1:18" x14ac:dyDescent="0.2">
      <c r="A524" s="29"/>
      <c r="B524" s="29"/>
      <c r="C524" s="32"/>
      <c r="D524" s="29"/>
      <c r="E524" s="34"/>
      <c r="F524" s="29"/>
      <c r="G524" s="45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</row>
    <row r="525" spans="1:18" x14ac:dyDescent="0.2">
      <c r="A525" s="29"/>
      <c r="B525" s="29"/>
      <c r="C525" s="32"/>
      <c r="D525" s="29"/>
      <c r="E525" s="34"/>
      <c r="F525" s="29"/>
      <c r="G525" s="45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</row>
    <row r="526" spans="1:18" x14ac:dyDescent="0.2">
      <c r="A526" s="29"/>
      <c r="B526" s="29"/>
      <c r="C526" s="32"/>
      <c r="D526" s="29"/>
      <c r="E526" s="34"/>
      <c r="F526" s="29"/>
      <c r="G526" s="45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</row>
    <row r="527" spans="1:18" x14ac:dyDescent="0.2">
      <c r="A527" s="29"/>
      <c r="B527" s="29"/>
      <c r="C527" s="32"/>
      <c r="D527" s="29"/>
      <c r="E527" s="34"/>
      <c r="F527" s="29"/>
      <c r="G527" s="45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</row>
    <row r="528" spans="1:18" x14ac:dyDescent="0.2">
      <c r="A528" s="29"/>
      <c r="B528" s="29"/>
      <c r="C528" s="32"/>
      <c r="D528" s="29"/>
      <c r="E528" s="34"/>
      <c r="F528" s="29"/>
      <c r="G528" s="45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</row>
    <row r="529" spans="1:18" x14ac:dyDescent="0.2">
      <c r="A529" s="29"/>
      <c r="B529" s="29"/>
      <c r="C529" s="32"/>
      <c r="D529" s="29"/>
      <c r="E529" s="34"/>
      <c r="F529" s="29"/>
      <c r="G529" s="45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</row>
    <row r="530" spans="1:18" x14ac:dyDescent="0.2">
      <c r="A530" s="29"/>
      <c r="B530" s="29"/>
      <c r="C530" s="32"/>
      <c r="D530" s="29"/>
      <c r="E530" s="34"/>
      <c r="F530" s="29"/>
      <c r="G530" s="45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</row>
    <row r="531" spans="1:18" x14ac:dyDescent="0.2">
      <c r="A531" s="29"/>
      <c r="B531" s="29"/>
      <c r="C531" s="32"/>
      <c r="D531" s="29"/>
      <c r="E531" s="34"/>
      <c r="F531" s="29"/>
      <c r="G531" s="45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</row>
    <row r="532" spans="1:18" x14ac:dyDescent="0.2">
      <c r="A532" s="29"/>
      <c r="B532" s="29"/>
      <c r="C532" s="32"/>
      <c r="D532" s="29"/>
      <c r="E532" s="34"/>
      <c r="F532" s="29"/>
      <c r="G532" s="45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</row>
    <row r="533" spans="1:18" x14ac:dyDescent="0.2">
      <c r="A533" s="29"/>
      <c r="B533" s="29"/>
      <c r="C533" s="32"/>
      <c r="D533" s="29"/>
      <c r="E533" s="34"/>
      <c r="F533" s="29"/>
      <c r="G533" s="45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</row>
    <row r="534" spans="1:18" x14ac:dyDescent="0.2">
      <c r="A534" s="29"/>
      <c r="B534" s="29"/>
      <c r="C534" s="32"/>
      <c r="D534" s="29"/>
      <c r="E534" s="34"/>
      <c r="F534" s="29"/>
      <c r="G534" s="45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</row>
    <row r="535" spans="1:18" x14ac:dyDescent="0.2">
      <c r="A535" s="29"/>
      <c r="B535" s="29"/>
      <c r="C535" s="32"/>
      <c r="D535" s="29"/>
      <c r="E535" s="34"/>
      <c r="F535" s="29"/>
      <c r="G535" s="45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</row>
    <row r="536" spans="1:18" x14ac:dyDescent="0.2">
      <c r="A536" s="29"/>
      <c r="B536" s="29"/>
      <c r="C536" s="32"/>
      <c r="D536" s="29"/>
      <c r="E536" s="34"/>
      <c r="F536" s="29"/>
      <c r="G536" s="45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</row>
    <row r="537" spans="1:18" x14ac:dyDescent="0.2">
      <c r="A537" s="29"/>
      <c r="B537" s="29"/>
      <c r="C537" s="32"/>
      <c r="D537" s="29"/>
      <c r="E537" s="34"/>
      <c r="F537" s="29"/>
      <c r="G537" s="45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</row>
    <row r="538" spans="1:18" x14ac:dyDescent="0.2">
      <c r="A538" s="29"/>
      <c r="B538" s="29"/>
      <c r="C538" s="32"/>
      <c r="D538" s="29"/>
      <c r="E538" s="34"/>
      <c r="F538" s="29"/>
      <c r="G538" s="45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</row>
    <row r="539" spans="1:18" x14ac:dyDescent="0.2">
      <c r="A539" s="29"/>
      <c r="B539" s="29"/>
      <c r="C539" s="32"/>
      <c r="D539" s="29"/>
      <c r="E539" s="34"/>
      <c r="F539" s="29"/>
      <c r="G539" s="45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</row>
    <row r="540" spans="1:18" x14ac:dyDescent="0.2">
      <c r="A540" s="29"/>
      <c r="B540" s="29"/>
      <c r="C540" s="32"/>
      <c r="D540" s="29"/>
      <c r="E540" s="34"/>
      <c r="F540" s="29"/>
      <c r="G540" s="45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</row>
    <row r="541" spans="1:18" x14ac:dyDescent="0.2">
      <c r="A541" s="29"/>
      <c r="B541" s="29"/>
      <c r="C541" s="32"/>
      <c r="D541" s="29"/>
      <c r="E541" s="34"/>
      <c r="F541" s="29"/>
      <c r="G541" s="45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</row>
    <row r="542" spans="1:18" x14ac:dyDescent="0.2">
      <c r="A542" s="29"/>
      <c r="B542" s="29"/>
      <c r="C542" s="32"/>
      <c r="D542" s="29"/>
      <c r="E542" s="34"/>
      <c r="F542" s="29"/>
      <c r="G542" s="45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</row>
    <row r="543" spans="1:18" x14ac:dyDescent="0.2">
      <c r="A543" s="29"/>
      <c r="B543" s="29"/>
      <c r="C543" s="32"/>
      <c r="D543" s="29"/>
      <c r="E543" s="34"/>
      <c r="F543" s="29"/>
      <c r="G543" s="45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</row>
    <row r="544" spans="1:18" x14ac:dyDescent="0.2">
      <c r="A544" s="29"/>
      <c r="B544" s="29"/>
      <c r="C544" s="32"/>
      <c r="D544" s="29"/>
      <c r="E544" s="34"/>
      <c r="F544" s="29"/>
      <c r="G544" s="45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</row>
    <row r="545" spans="1:18" x14ac:dyDescent="0.2">
      <c r="A545" s="29"/>
      <c r="B545" s="29"/>
      <c r="C545" s="32"/>
      <c r="D545" s="29"/>
      <c r="E545" s="34"/>
      <c r="F545" s="29"/>
      <c r="G545" s="45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</row>
    <row r="546" spans="1:18" x14ac:dyDescent="0.2">
      <c r="A546" s="29"/>
      <c r="B546" s="29"/>
      <c r="C546" s="32"/>
      <c r="D546" s="29"/>
      <c r="E546" s="34"/>
      <c r="F546" s="29"/>
      <c r="G546" s="45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</row>
    <row r="547" spans="1:18" x14ac:dyDescent="0.2">
      <c r="A547" s="29"/>
      <c r="B547" s="29"/>
      <c r="C547" s="32"/>
      <c r="D547" s="29"/>
      <c r="E547" s="34"/>
      <c r="F547" s="29"/>
      <c r="G547" s="45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</row>
    <row r="548" spans="1:18" x14ac:dyDescent="0.2">
      <c r="A548" s="29"/>
      <c r="B548" s="29"/>
      <c r="C548" s="32"/>
      <c r="D548" s="29"/>
      <c r="E548" s="34"/>
      <c r="F548" s="29"/>
      <c r="G548" s="45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</row>
    <row r="549" spans="1:18" x14ac:dyDescent="0.2">
      <c r="A549" s="29"/>
      <c r="B549" s="29"/>
      <c r="C549" s="32"/>
      <c r="D549" s="29"/>
      <c r="E549" s="34"/>
      <c r="F549" s="29"/>
      <c r="G549" s="45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</row>
    <row r="550" spans="1:18" x14ac:dyDescent="0.2">
      <c r="A550" s="29"/>
      <c r="B550" s="29"/>
      <c r="C550" s="32"/>
      <c r="D550" s="29"/>
      <c r="E550" s="34"/>
      <c r="F550" s="29"/>
      <c r="G550" s="45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</row>
    <row r="551" spans="1:18" x14ac:dyDescent="0.2">
      <c r="A551" s="29"/>
      <c r="B551" s="29"/>
      <c r="C551" s="32"/>
      <c r="D551" s="29"/>
      <c r="E551" s="34"/>
      <c r="F551" s="29"/>
      <c r="G551" s="45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</row>
    <row r="552" spans="1:18" x14ac:dyDescent="0.2">
      <c r="A552" s="29"/>
      <c r="B552" s="29"/>
      <c r="C552" s="32"/>
      <c r="D552" s="29"/>
      <c r="E552" s="34"/>
      <c r="F552" s="29"/>
      <c r="G552" s="45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</row>
    <row r="553" spans="1:18" x14ac:dyDescent="0.2">
      <c r="A553" s="29"/>
      <c r="B553" s="29"/>
      <c r="C553" s="32"/>
      <c r="D553" s="29"/>
      <c r="E553" s="34"/>
      <c r="F553" s="29"/>
      <c r="G553" s="45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</row>
    <row r="554" spans="1:18" x14ac:dyDescent="0.2">
      <c r="A554" s="29"/>
      <c r="B554" s="29"/>
      <c r="C554" s="32"/>
      <c r="D554" s="29"/>
      <c r="E554" s="34"/>
      <c r="F554" s="29"/>
      <c r="G554" s="45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</row>
    <row r="555" spans="1:18" x14ac:dyDescent="0.2">
      <c r="A555" s="29"/>
      <c r="B555" s="29"/>
      <c r="C555" s="32"/>
      <c r="D555" s="29"/>
      <c r="E555" s="34"/>
      <c r="F555" s="29"/>
      <c r="G555" s="45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</row>
    <row r="556" spans="1:18" x14ac:dyDescent="0.2">
      <c r="A556" s="29"/>
      <c r="B556" s="29"/>
      <c r="C556" s="32"/>
      <c r="D556" s="29"/>
      <c r="E556" s="34"/>
      <c r="F556" s="29"/>
      <c r="G556" s="45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</row>
    <row r="557" spans="1:18" x14ac:dyDescent="0.2">
      <c r="A557" s="29"/>
      <c r="B557" s="29"/>
      <c r="C557" s="32"/>
      <c r="D557" s="29"/>
      <c r="E557" s="34"/>
      <c r="F557" s="29"/>
      <c r="G557" s="45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</row>
    <row r="558" spans="1:18" x14ac:dyDescent="0.2">
      <c r="A558" s="29"/>
      <c r="B558" s="29"/>
      <c r="C558" s="32"/>
      <c r="D558" s="29"/>
      <c r="E558" s="34"/>
      <c r="F558" s="29"/>
      <c r="G558" s="45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</row>
    <row r="559" spans="1:18" x14ac:dyDescent="0.2">
      <c r="A559" s="29"/>
      <c r="B559" s="29"/>
      <c r="C559" s="32"/>
      <c r="D559" s="29"/>
      <c r="E559" s="34"/>
      <c r="F559" s="29"/>
      <c r="G559" s="45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</row>
    <row r="560" spans="1:18" x14ac:dyDescent="0.2">
      <c r="A560" s="29"/>
      <c r="B560" s="29"/>
      <c r="C560" s="32"/>
      <c r="D560" s="29"/>
      <c r="E560" s="34"/>
      <c r="F560" s="29"/>
      <c r="G560" s="45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</row>
    <row r="561" spans="1:18" x14ac:dyDescent="0.2">
      <c r="A561" s="29"/>
      <c r="B561" s="29"/>
      <c r="C561" s="32"/>
      <c r="D561" s="29"/>
      <c r="E561" s="34"/>
      <c r="F561" s="29"/>
      <c r="G561" s="45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</row>
    <row r="562" spans="1:18" x14ac:dyDescent="0.2">
      <c r="A562" s="29"/>
      <c r="B562" s="29"/>
      <c r="C562" s="32"/>
      <c r="D562" s="29"/>
      <c r="E562" s="34"/>
      <c r="F562" s="29"/>
      <c r="G562" s="45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</row>
    <row r="563" spans="1:18" x14ac:dyDescent="0.2">
      <c r="A563" s="29"/>
      <c r="B563" s="29"/>
      <c r="C563" s="32"/>
      <c r="D563" s="29"/>
      <c r="E563" s="34"/>
      <c r="F563" s="29"/>
      <c r="G563" s="45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</row>
    <row r="564" spans="1:18" x14ac:dyDescent="0.2">
      <c r="A564" s="29"/>
      <c r="B564" s="29"/>
      <c r="C564" s="32"/>
      <c r="D564" s="29"/>
      <c r="E564" s="34"/>
      <c r="F564" s="29"/>
      <c r="G564" s="45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</row>
    <row r="565" spans="1:18" x14ac:dyDescent="0.2">
      <c r="A565" s="29"/>
      <c r="B565" s="29"/>
      <c r="C565" s="32"/>
      <c r="D565" s="29"/>
      <c r="E565" s="34"/>
      <c r="F565" s="29"/>
      <c r="G565" s="45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</row>
    <row r="566" spans="1:18" x14ac:dyDescent="0.2">
      <c r="A566" s="29"/>
      <c r="B566" s="29"/>
      <c r="C566" s="32"/>
      <c r="D566" s="29"/>
      <c r="E566" s="34"/>
      <c r="F566" s="29"/>
      <c r="G566" s="45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</row>
    <row r="567" spans="1:18" x14ac:dyDescent="0.2">
      <c r="A567" s="29"/>
      <c r="B567" s="29"/>
      <c r="C567" s="32"/>
      <c r="D567" s="29"/>
      <c r="E567" s="34"/>
      <c r="F567" s="29"/>
      <c r="G567" s="45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</row>
    <row r="568" spans="1:18" x14ac:dyDescent="0.2">
      <c r="A568" s="29"/>
      <c r="B568" s="29"/>
      <c r="C568" s="32"/>
      <c r="D568" s="29"/>
      <c r="E568" s="34"/>
      <c r="F568" s="29"/>
      <c r="G568" s="45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</row>
    <row r="569" spans="1:18" x14ac:dyDescent="0.2">
      <c r="A569" s="29"/>
      <c r="B569" s="29"/>
      <c r="C569" s="32"/>
      <c r="D569" s="29"/>
      <c r="E569" s="34"/>
      <c r="F569" s="29"/>
      <c r="G569" s="45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</row>
    <row r="570" spans="1:18" x14ac:dyDescent="0.2">
      <c r="A570" s="29"/>
      <c r="B570" s="29"/>
      <c r="C570" s="32"/>
      <c r="D570" s="29"/>
      <c r="E570" s="34"/>
      <c r="F570" s="29"/>
      <c r="G570" s="45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</row>
    <row r="571" spans="1:18" x14ac:dyDescent="0.2">
      <c r="A571" s="29"/>
      <c r="B571" s="29"/>
      <c r="C571" s="32"/>
      <c r="D571" s="29"/>
      <c r="E571" s="34"/>
      <c r="F571" s="29"/>
      <c r="G571" s="45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</row>
    <row r="572" spans="1:18" x14ac:dyDescent="0.2">
      <c r="A572" s="29"/>
      <c r="B572" s="29"/>
      <c r="C572" s="32"/>
      <c r="D572" s="29"/>
      <c r="E572" s="34"/>
      <c r="F572" s="29"/>
      <c r="G572" s="45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</row>
    <row r="573" spans="1:18" x14ac:dyDescent="0.2">
      <c r="A573" s="29"/>
      <c r="B573" s="29"/>
      <c r="C573" s="32"/>
      <c r="D573" s="29"/>
      <c r="E573" s="34"/>
      <c r="F573" s="29"/>
      <c r="G573" s="45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</row>
    <row r="574" spans="1:18" x14ac:dyDescent="0.2">
      <c r="A574" s="29"/>
      <c r="B574" s="29"/>
      <c r="C574" s="32"/>
      <c r="D574" s="29"/>
      <c r="E574" s="34"/>
      <c r="F574" s="29"/>
      <c r="G574" s="45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</row>
    <row r="575" spans="1:18" x14ac:dyDescent="0.2">
      <c r="A575" s="29"/>
      <c r="B575" s="29"/>
      <c r="C575" s="32"/>
      <c r="D575" s="29"/>
      <c r="E575" s="34"/>
      <c r="F575" s="29"/>
      <c r="G575" s="45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</row>
    <row r="576" spans="1:18" x14ac:dyDescent="0.2">
      <c r="A576" s="29"/>
      <c r="B576" s="29"/>
      <c r="C576" s="32"/>
      <c r="D576" s="29"/>
      <c r="E576" s="34"/>
      <c r="F576" s="29"/>
      <c r="G576" s="45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</row>
    <row r="577" spans="1:18" x14ac:dyDescent="0.2">
      <c r="A577" s="29"/>
      <c r="B577" s="29"/>
      <c r="C577" s="32"/>
      <c r="D577" s="29"/>
      <c r="E577" s="34"/>
      <c r="F577" s="29"/>
      <c r="G577" s="45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</row>
    <row r="578" spans="1:18" x14ac:dyDescent="0.2">
      <c r="A578" s="29"/>
      <c r="B578" s="29"/>
      <c r="C578" s="32"/>
      <c r="D578" s="29"/>
      <c r="E578" s="34"/>
      <c r="F578" s="29"/>
      <c r="G578" s="45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</row>
    <row r="579" spans="1:18" x14ac:dyDescent="0.2">
      <c r="A579" s="29"/>
      <c r="B579" s="29"/>
      <c r="C579" s="32"/>
      <c r="D579" s="29"/>
      <c r="E579" s="34"/>
      <c r="F579" s="29"/>
      <c r="G579" s="45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</row>
    <row r="580" spans="1:18" x14ac:dyDescent="0.2">
      <c r="A580" s="29"/>
      <c r="B580" s="29"/>
      <c r="C580" s="32"/>
      <c r="D580" s="29"/>
      <c r="E580" s="34"/>
      <c r="F580" s="29"/>
      <c r="G580" s="45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</row>
    <row r="581" spans="1:18" x14ac:dyDescent="0.2">
      <c r="A581" s="29"/>
      <c r="B581" s="29"/>
      <c r="C581" s="32"/>
      <c r="D581" s="29"/>
      <c r="E581" s="34"/>
      <c r="F581" s="29"/>
      <c r="G581" s="45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</row>
    <row r="582" spans="1:18" x14ac:dyDescent="0.2">
      <c r="A582" s="29"/>
      <c r="B582" s="29"/>
      <c r="C582" s="32"/>
      <c r="D582" s="29"/>
      <c r="E582" s="34"/>
      <c r="F582" s="29"/>
      <c r="G582" s="45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</row>
    <row r="583" spans="1:18" x14ac:dyDescent="0.2">
      <c r="A583" s="29"/>
      <c r="B583" s="29"/>
      <c r="C583" s="32"/>
      <c r="D583" s="29"/>
      <c r="E583" s="34"/>
      <c r="F583" s="29"/>
      <c r="G583" s="45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</row>
    <row r="584" spans="1:18" x14ac:dyDescent="0.2">
      <c r="A584" s="29"/>
      <c r="B584" s="29"/>
      <c r="C584" s="32"/>
      <c r="D584" s="29"/>
      <c r="E584" s="34"/>
      <c r="F584" s="29"/>
      <c r="G584" s="45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</row>
    <row r="585" spans="1:18" x14ac:dyDescent="0.2">
      <c r="A585" s="29"/>
      <c r="B585" s="29"/>
      <c r="C585" s="32"/>
      <c r="D585" s="29"/>
      <c r="E585" s="34"/>
      <c r="F585" s="29"/>
      <c r="G585" s="45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</row>
    <row r="586" spans="1:18" x14ac:dyDescent="0.2">
      <c r="A586" s="29"/>
      <c r="B586" s="29"/>
      <c r="C586" s="32"/>
      <c r="D586" s="29"/>
      <c r="E586" s="34"/>
      <c r="F586" s="29"/>
      <c r="G586" s="45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</row>
    <row r="587" spans="1:18" x14ac:dyDescent="0.2">
      <c r="A587" s="29"/>
      <c r="B587" s="29"/>
      <c r="C587" s="32"/>
      <c r="D587" s="29"/>
      <c r="E587" s="34"/>
      <c r="F587" s="29"/>
      <c r="G587" s="45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</row>
    <row r="588" spans="1:18" x14ac:dyDescent="0.2">
      <c r="A588" s="29"/>
      <c r="B588" s="29"/>
      <c r="C588" s="32"/>
      <c r="D588" s="29"/>
      <c r="E588" s="34"/>
      <c r="F588" s="29"/>
      <c r="G588" s="45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</row>
    <row r="589" spans="1:18" x14ac:dyDescent="0.2">
      <c r="A589" s="29"/>
      <c r="B589" s="29"/>
      <c r="C589" s="32"/>
      <c r="D589" s="29"/>
      <c r="E589" s="34"/>
      <c r="F589" s="29"/>
      <c r="G589" s="45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</row>
    <row r="590" spans="1:18" x14ac:dyDescent="0.2">
      <c r="A590" s="29"/>
      <c r="B590" s="29"/>
      <c r="C590" s="32"/>
      <c r="D590" s="29"/>
      <c r="E590" s="34"/>
      <c r="F590" s="29"/>
      <c r="G590" s="45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</row>
    <row r="591" spans="1:18" x14ac:dyDescent="0.2">
      <c r="A591" s="29"/>
      <c r="B591" s="29"/>
      <c r="C591" s="32"/>
      <c r="D591" s="29"/>
      <c r="E591" s="34"/>
      <c r="F591" s="29"/>
      <c r="G591" s="45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</row>
    <row r="592" spans="1:18" x14ac:dyDescent="0.2">
      <c r="A592" s="29"/>
      <c r="B592" s="29"/>
      <c r="C592" s="32"/>
      <c r="D592" s="29"/>
      <c r="E592" s="34"/>
      <c r="F592" s="29"/>
      <c r="G592" s="45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</row>
    <row r="593" spans="1:18" x14ac:dyDescent="0.2">
      <c r="A593" s="29"/>
      <c r="B593" s="29"/>
      <c r="C593" s="32"/>
      <c r="D593" s="29"/>
      <c r="E593" s="34"/>
      <c r="F593" s="29"/>
      <c r="G593" s="45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</row>
    <row r="594" spans="1:18" x14ac:dyDescent="0.2">
      <c r="A594" s="29"/>
      <c r="B594" s="29"/>
      <c r="C594" s="32"/>
      <c r="D594" s="29"/>
      <c r="E594" s="34"/>
      <c r="F594" s="29"/>
      <c r="G594" s="45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</row>
    <row r="595" spans="1:18" x14ac:dyDescent="0.2">
      <c r="A595" s="29"/>
      <c r="B595" s="29"/>
      <c r="C595" s="32"/>
      <c r="D595" s="29"/>
      <c r="E595" s="34"/>
      <c r="F595" s="29"/>
      <c r="G595" s="45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</row>
    <row r="596" spans="1:18" x14ac:dyDescent="0.2">
      <c r="A596" s="29"/>
      <c r="B596" s="29"/>
      <c r="C596" s="32"/>
      <c r="D596" s="29"/>
      <c r="E596" s="34"/>
      <c r="F596" s="29"/>
      <c r="G596" s="45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</row>
    <row r="597" spans="1:18" x14ac:dyDescent="0.2">
      <c r="A597" s="29"/>
      <c r="B597" s="29"/>
      <c r="C597" s="32"/>
      <c r="D597" s="29"/>
      <c r="E597" s="34"/>
      <c r="F597" s="29"/>
      <c r="G597" s="45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</row>
    <row r="598" spans="1:18" x14ac:dyDescent="0.2">
      <c r="A598" s="29"/>
      <c r="B598" s="29"/>
      <c r="C598" s="32"/>
      <c r="D598" s="29"/>
      <c r="E598" s="34"/>
      <c r="F598" s="29"/>
      <c r="G598" s="45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</row>
    <row r="599" spans="1:18" x14ac:dyDescent="0.2">
      <c r="A599" s="29"/>
      <c r="B599" s="29"/>
      <c r="C599" s="32"/>
      <c r="D599" s="29"/>
      <c r="E599" s="34"/>
      <c r="F599" s="29"/>
      <c r="G599" s="45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</row>
    <row r="600" spans="1:18" x14ac:dyDescent="0.2">
      <c r="A600" s="29"/>
      <c r="B600" s="29"/>
      <c r="C600" s="32"/>
      <c r="D600" s="29"/>
      <c r="E600" s="34"/>
      <c r="F600" s="29"/>
      <c r="G600" s="45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</row>
    <row r="601" spans="1:18" x14ac:dyDescent="0.2">
      <c r="A601" s="29"/>
      <c r="B601" s="29"/>
      <c r="C601" s="32"/>
      <c r="D601" s="29"/>
      <c r="E601" s="34"/>
      <c r="F601" s="29"/>
      <c r="G601" s="45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</row>
    <row r="602" spans="1:18" x14ac:dyDescent="0.2">
      <c r="A602" s="29"/>
      <c r="B602" s="29"/>
      <c r="C602" s="32"/>
      <c r="D602" s="29"/>
      <c r="E602" s="34"/>
      <c r="F602" s="29"/>
      <c r="G602" s="45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</row>
    <row r="603" spans="1:18" x14ac:dyDescent="0.2">
      <c r="A603" s="29"/>
      <c r="B603" s="29"/>
      <c r="C603" s="32"/>
      <c r="D603" s="29"/>
      <c r="E603" s="34"/>
      <c r="F603" s="29"/>
      <c r="G603" s="45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</row>
    <row r="604" spans="1:18" x14ac:dyDescent="0.2">
      <c r="A604" s="29"/>
      <c r="B604" s="29"/>
      <c r="C604" s="32"/>
      <c r="D604" s="29"/>
      <c r="E604" s="34"/>
      <c r="F604" s="29"/>
      <c r="G604" s="45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</row>
    <row r="605" spans="1:18" x14ac:dyDescent="0.2">
      <c r="A605" s="29"/>
      <c r="B605" s="29"/>
      <c r="C605" s="32"/>
      <c r="D605" s="29"/>
      <c r="E605" s="34"/>
      <c r="F605" s="29"/>
      <c r="G605" s="45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</row>
    <row r="606" spans="1:18" x14ac:dyDescent="0.2">
      <c r="A606" s="29"/>
      <c r="B606" s="29"/>
      <c r="C606" s="32"/>
      <c r="D606" s="29"/>
      <c r="E606" s="34"/>
      <c r="F606" s="29"/>
      <c r="G606" s="45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</row>
    <row r="607" spans="1:18" x14ac:dyDescent="0.2">
      <c r="A607" s="29"/>
      <c r="B607" s="29"/>
      <c r="C607" s="32"/>
      <c r="D607" s="29"/>
      <c r="E607" s="34"/>
      <c r="F607" s="29"/>
      <c r="G607" s="45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</row>
    <row r="608" spans="1:18" x14ac:dyDescent="0.2">
      <c r="A608" s="29"/>
      <c r="B608" s="29"/>
      <c r="C608" s="32"/>
      <c r="D608" s="29"/>
      <c r="E608" s="34"/>
      <c r="F608" s="29"/>
      <c r="G608" s="45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</row>
    <row r="609" spans="1:18" x14ac:dyDescent="0.2">
      <c r="A609" s="29"/>
      <c r="B609" s="29"/>
      <c r="C609" s="32"/>
      <c r="D609" s="29"/>
      <c r="E609" s="34"/>
      <c r="F609" s="29"/>
      <c r="G609" s="45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</row>
    <row r="610" spans="1:18" x14ac:dyDescent="0.2">
      <c r="A610" s="29"/>
      <c r="B610" s="29"/>
      <c r="C610" s="32"/>
      <c r="D610" s="29"/>
      <c r="E610" s="34"/>
      <c r="F610" s="29"/>
      <c r="G610" s="45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</row>
    <row r="611" spans="1:18" x14ac:dyDescent="0.2">
      <c r="A611" s="29"/>
      <c r="B611" s="29"/>
      <c r="C611" s="32"/>
      <c r="D611" s="29"/>
      <c r="E611" s="34"/>
      <c r="F611" s="29"/>
      <c r="G611" s="45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</row>
    <row r="612" spans="1:18" x14ac:dyDescent="0.2">
      <c r="A612" s="29"/>
      <c r="B612" s="29"/>
      <c r="C612" s="32"/>
      <c r="D612" s="29"/>
      <c r="E612" s="34"/>
      <c r="F612" s="29"/>
      <c r="G612" s="45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</row>
    <row r="613" spans="1:18" x14ac:dyDescent="0.2">
      <c r="A613" s="29"/>
      <c r="B613" s="29"/>
      <c r="C613" s="32"/>
      <c r="D613" s="29"/>
      <c r="E613" s="34"/>
      <c r="F613" s="29"/>
      <c r="G613" s="45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</row>
    <row r="614" spans="1:18" x14ac:dyDescent="0.2">
      <c r="A614" s="29"/>
      <c r="B614" s="29"/>
      <c r="C614" s="32"/>
      <c r="D614" s="29"/>
      <c r="E614" s="34"/>
      <c r="F614" s="29"/>
      <c r="G614" s="45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</row>
    <row r="615" spans="1:18" x14ac:dyDescent="0.2">
      <c r="A615" s="29"/>
      <c r="B615" s="29"/>
      <c r="C615" s="32"/>
      <c r="D615" s="29"/>
      <c r="E615" s="34"/>
      <c r="F615" s="29"/>
      <c r="G615" s="45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</row>
    <row r="616" spans="1:18" x14ac:dyDescent="0.2">
      <c r="A616" s="29"/>
      <c r="B616" s="29"/>
      <c r="C616" s="32"/>
      <c r="D616" s="29"/>
      <c r="E616" s="34"/>
      <c r="F616" s="29"/>
      <c r="G616" s="45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</row>
    <row r="617" spans="1:18" x14ac:dyDescent="0.2">
      <c r="A617" s="29"/>
      <c r="B617" s="29"/>
      <c r="C617" s="32"/>
      <c r="D617" s="29"/>
      <c r="E617" s="34"/>
      <c r="F617" s="29"/>
      <c r="G617" s="45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</row>
    <row r="618" spans="1:18" x14ac:dyDescent="0.2">
      <c r="A618" s="29"/>
      <c r="B618" s="29"/>
      <c r="C618" s="32"/>
      <c r="D618" s="29"/>
      <c r="E618" s="34"/>
      <c r="F618" s="29"/>
      <c r="G618" s="45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</row>
    <row r="619" spans="1:18" x14ac:dyDescent="0.2">
      <c r="A619" s="29"/>
      <c r="B619" s="29"/>
      <c r="C619" s="32"/>
      <c r="D619" s="29"/>
      <c r="E619" s="34"/>
      <c r="F619" s="29"/>
      <c r="G619" s="45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</row>
    <row r="620" spans="1:18" x14ac:dyDescent="0.2">
      <c r="A620" s="29"/>
      <c r="B620" s="29"/>
      <c r="C620" s="32"/>
      <c r="D620" s="29"/>
      <c r="E620" s="34"/>
      <c r="F620" s="29"/>
      <c r="G620" s="45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</row>
    <row r="621" spans="1:18" x14ac:dyDescent="0.2">
      <c r="A621" s="29"/>
      <c r="B621" s="29"/>
      <c r="C621" s="32"/>
      <c r="D621" s="29"/>
      <c r="E621" s="34"/>
      <c r="F621" s="29"/>
      <c r="G621" s="45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</row>
    <row r="622" spans="1:18" x14ac:dyDescent="0.2">
      <c r="A622" s="29"/>
      <c r="B622" s="29"/>
      <c r="C622" s="32"/>
      <c r="D622" s="29"/>
      <c r="E622" s="34"/>
      <c r="F622" s="29"/>
      <c r="G622" s="45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</row>
    <row r="623" spans="1:18" x14ac:dyDescent="0.2">
      <c r="A623" s="29"/>
      <c r="B623" s="29"/>
      <c r="C623" s="32"/>
      <c r="D623" s="29"/>
      <c r="E623" s="34"/>
      <c r="F623" s="29"/>
      <c r="G623" s="45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</row>
    <row r="624" spans="1:18" x14ac:dyDescent="0.2">
      <c r="A624" s="29"/>
      <c r="B624" s="29"/>
      <c r="C624" s="32"/>
      <c r="D624" s="29"/>
      <c r="E624" s="34"/>
      <c r="F624" s="29"/>
      <c r="G624" s="45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</row>
    <row r="625" spans="1:18" x14ac:dyDescent="0.2">
      <c r="A625" s="29"/>
      <c r="B625" s="29"/>
      <c r="C625" s="32"/>
      <c r="D625" s="29"/>
      <c r="E625" s="34"/>
      <c r="F625" s="29"/>
      <c r="G625" s="45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</row>
    <row r="626" spans="1:18" x14ac:dyDescent="0.2">
      <c r="A626" s="29"/>
      <c r="B626" s="29"/>
      <c r="C626" s="32"/>
      <c r="D626" s="29"/>
      <c r="E626" s="34"/>
      <c r="F626" s="29"/>
      <c r="G626" s="45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</row>
    <row r="627" spans="1:18" x14ac:dyDescent="0.2">
      <c r="A627" s="29"/>
      <c r="B627" s="29"/>
      <c r="C627" s="32"/>
      <c r="D627" s="29"/>
      <c r="E627" s="34"/>
      <c r="F627" s="29"/>
      <c r="G627" s="45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</row>
    <row r="628" spans="1:18" x14ac:dyDescent="0.2">
      <c r="A628" s="29"/>
      <c r="B628" s="29"/>
      <c r="C628" s="32"/>
      <c r="D628" s="29"/>
      <c r="E628" s="34"/>
      <c r="F628" s="29"/>
      <c r="G628" s="45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</row>
    <row r="629" spans="1:18" x14ac:dyDescent="0.2">
      <c r="A629" s="29"/>
      <c r="B629" s="29"/>
      <c r="C629" s="32"/>
      <c r="D629" s="29"/>
      <c r="E629" s="34"/>
      <c r="F629" s="29"/>
      <c r="G629" s="45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</row>
    <row r="630" spans="1:18" x14ac:dyDescent="0.2">
      <c r="A630" s="29"/>
      <c r="B630" s="29"/>
      <c r="C630" s="32"/>
      <c r="D630" s="29"/>
      <c r="E630" s="34"/>
      <c r="F630" s="29"/>
      <c r="G630" s="45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</row>
    <row r="631" spans="1:18" x14ac:dyDescent="0.2">
      <c r="A631" s="29"/>
      <c r="B631" s="29"/>
      <c r="C631" s="32"/>
      <c r="D631" s="29"/>
      <c r="E631" s="34"/>
      <c r="F631" s="29"/>
      <c r="G631" s="45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</row>
    <row r="632" spans="1:18" x14ac:dyDescent="0.2">
      <c r="A632" s="29"/>
      <c r="B632" s="29"/>
      <c r="C632" s="32"/>
      <c r="D632" s="29"/>
      <c r="E632" s="34"/>
      <c r="F632" s="29"/>
      <c r="G632" s="45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</row>
    <row r="633" spans="1:18" x14ac:dyDescent="0.2">
      <c r="A633" s="29"/>
      <c r="B633" s="29"/>
      <c r="C633" s="32"/>
      <c r="D633" s="29"/>
      <c r="E633" s="34"/>
      <c r="F633" s="29"/>
      <c r="G633" s="45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</row>
    <row r="634" spans="1:18" x14ac:dyDescent="0.2">
      <c r="A634" s="29"/>
      <c r="B634" s="29"/>
      <c r="C634" s="32"/>
      <c r="D634" s="29"/>
      <c r="E634" s="34"/>
      <c r="F634" s="29"/>
      <c r="G634" s="45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</row>
    <row r="635" spans="1:18" x14ac:dyDescent="0.2">
      <c r="A635" s="29"/>
      <c r="B635" s="29"/>
      <c r="C635" s="32"/>
      <c r="D635" s="29"/>
      <c r="E635" s="34"/>
      <c r="F635" s="29"/>
      <c r="G635" s="45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</row>
    <row r="636" spans="1:18" x14ac:dyDescent="0.2">
      <c r="A636" s="29"/>
      <c r="B636" s="29"/>
      <c r="C636" s="32"/>
      <c r="D636" s="29"/>
      <c r="E636" s="34"/>
      <c r="F636" s="29"/>
      <c r="G636" s="45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</row>
    <row r="637" spans="1:18" x14ac:dyDescent="0.2">
      <c r="A637" s="29"/>
      <c r="B637" s="29"/>
      <c r="C637" s="32"/>
      <c r="D637" s="29"/>
      <c r="E637" s="34"/>
      <c r="F637" s="29"/>
      <c r="G637" s="45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</row>
    <row r="638" spans="1:18" x14ac:dyDescent="0.2">
      <c r="A638" s="29"/>
      <c r="B638" s="29"/>
      <c r="C638" s="32"/>
      <c r="D638" s="29"/>
      <c r="E638" s="34"/>
      <c r="F638" s="29"/>
      <c r="G638" s="45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</row>
    <row r="639" spans="1:18" x14ac:dyDescent="0.2">
      <c r="A639" s="29"/>
      <c r="B639" s="29"/>
      <c r="C639" s="32"/>
      <c r="D639" s="29"/>
      <c r="E639" s="34"/>
      <c r="F639" s="29"/>
      <c r="G639" s="45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</row>
    <row r="640" spans="1:18" x14ac:dyDescent="0.2">
      <c r="A640" s="29"/>
      <c r="B640" s="29"/>
      <c r="C640" s="32"/>
      <c r="D640" s="29"/>
      <c r="E640" s="34"/>
      <c r="F640" s="29"/>
      <c r="G640" s="45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</row>
    <row r="641" spans="1:18" x14ac:dyDescent="0.2">
      <c r="A641" s="29"/>
      <c r="B641" s="29"/>
      <c r="C641" s="32"/>
      <c r="D641" s="29"/>
      <c r="E641" s="34"/>
      <c r="F641" s="29"/>
      <c r="G641" s="45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</row>
    <row r="642" spans="1:18" x14ac:dyDescent="0.2">
      <c r="A642" s="29"/>
      <c r="B642" s="29"/>
      <c r="C642" s="32"/>
      <c r="D642" s="29"/>
      <c r="E642" s="34"/>
      <c r="F642" s="29"/>
      <c r="G642" s="45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</row>
    <row r="643" spans="1:18" x14ac:dyDescent="0.2">
      <c r="A643" s="29"/>
      <c r="B643" s="29"/>
      <c r="C643" s="32"/>
      <c r="D643" s="29"/>
      <c r="E643" s="34"/>
      <c r="F643" s="29"/>
      <c r="G643" s="45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</row>
    <row r="644" spans="1:18" x14ac:dyDescent="0.2">
      <c r="A644" s="29"/>
      <c r="B644" s="29"/>
      <c r="C644" s="32"/>
      <c r="D644" s="29"/>
      <c r="E644" s="34"/>
      <c r="F644" s="29"/>
      <c r="G644" s="45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</row>
    <row r="645" spans="1:18" x14ac:dyDescent="0.2">
      <c r="A645" s="29"/>
      <c r="B645" s="29"/>
      <c r="C645" s="32"/>
      <c r="D645" s="29"/>
      <c r="E645" s="34"/>
      <c r="F645" s="29"/>
      <c r="G645" s="45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</row>
    <row r="646" spans="1:18" x14ac:dyDescent="0.2">
      <c r="A646" s="29"/>
      <c r="B646" s="29"/>
      <c r="C646" s="32"/>
      <c r="D646" s="29"/>
      <c r="E646" s="34"/>
      <c r="F646" s="29"/>
      <c r="G646" s="45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</row>
    <row r="647" spans="1:18" x14ac:dyDescent="0.2">
      <c r="A647" s="29"/>
      <c r="B647" s="29"/>
      <c r="C647" s="32"/>
      <c r="D647" s="29"/>
      <c r="E647" s="34"/>
      <c r="F647" s="29"/>
      <c r="G647" s="45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</row>
    <row r="648" spans="1:18" x14ac:dyDescent="0.2">
      <c r="A648" s="29"/>
      <c r="B648" s="29"/>
      <c r="C648" s="32"/>
      <c r="D648" s="29"/>
      <c r="E648" s="34"/>
      <c r="F648" s="29"/>
      <c r="G648" s="45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</row>
    <row r="649" spans="1:18" x14ac:dyDescent="0.2">
      <c r="A649" s="29"/>
      <c r="B649" s="29"/>
      <c r="C649" s="32"/>
      <c r="D649" s="29"/>
      <c r="E649" s="34"/>
      <c r="F649" s="29"/>
      <c r="G649" s="45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</row>
    <row r="650" spans="1:18" x14ac:dyDescent="0.2">
      <c r="A650" s="29"/>
      <c r="B650" s="29"/>
      <c r="C650" s="32"/>
      <c r="D650" s="29"/>
      <c r="E650" s="34"/>
      <c r="F650" s="29"/>
      <c r="G650" s="45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</row>
    <row r="651" spans="1:18" x14ac:dyDescent="0.2">
      <c r="A651" s="29"/>
      <c r="B651" s="29"/>
      <c r="C651" s="32"/>
      <c r="D651" s="29"/>
      <c r="E651" s="34"/>
      <c r="F651" s="29"/>
      <c r="G651" s="45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</row>
    <row r="652" spans="1:18" x14ac:dyDescent="0.2">
      <c r="A652" s="29"/>
      <c r="B652" s="29"/>
      <c r="C652" s="32"/>
      <c r="D652" s="29"/>
      <c r="E652" s="34"/>
      <c r="F652" s="29"/>
      <c r="G652" s="45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</row>
    <row r="653" spans="1:18" x14ac:dyDescent="0.2">
      <c r="A653" s="29"/>
      <c r="B653" s="29"/>
      <c r="C653" s="32"/>
      <c r="D653" s="29"/>
      <c r="E653" s="34"/>
      <c r="F653" s="29"/>
      <c r="G653" s="45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</row>
    <row r="654" spans="1:18" x14ac:dyDescent="0.2">
      <c r="A654" s="29"/>
      <c r="B654" s="29"/>
      <c r="C654" s="32"/>
      <c r="D654" s="29"/>
      <c r="E654" s="34"/>
      <c r="F654" s="29"/>
      <c r="G654" s="45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</row>
    <row r="655" spans="1:18" x14ac:dyDescent="0.2">
      <c r="A655" s="29"/>
      <c r="B655" s="29"/>
      <c r="C655" s="32"/>
      <c r="D655" s="29"/>
      <c r="E655" s="34"/>
      <c r="F655" s="29"/>
      <c r="G655" s="45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</row>
    <row r="656" spans="1:18" x14ac:dyDescent="0.2">
      <c r="A656" s="29"/>
      <c r="B656" s="29"/>
      <c r="C656" s="32"/>
      <c r="D656" s="29"/>
      <c r="E656" s="34"/>
      <c r="F656" s="29"/>
      <c r="G656" s="45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</row>
    <row r="657" spans="1:18" x14ac:dyDescent="0.2">
      <c r="A657" s="29"/>
      <c r="B657" s="29"/>
      <c r="C657" s="32"/>
      <c r="D657" s="29"/>
      <c r="E657" s="34"/>
      <c r="F657" s="29"/>
      <c r="G657" s="45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</row>
    <row r="658" spans="1:18" x14ac:dyDescent="0.2">
      <c r="A658" s="29"/>
      <c r="B658" s="29"/>
      <c r="C658" s="32"/>
      <c r="D658" s="29"/>
      <c r="E658" s="34"/>
      <c r="F658" s="29"/>
      <c r="G658" s="45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</row>
    <row r="659" spans="1:18" x14ac:dyDescent="0.2">
      <c r="A659" s="29"/>
      <c r="B659" s="29"/>
      <c r="C659" s="32"/>
      <c r="D659" s="29"/>
      <c r="E659" s="34"/>
      <c r="F659" s="29"/>
      <c r="G659" s="45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</row>
    <row r="660" spans="1:18" x14ac:dyDescent="0.2">
      <c r="A660" s="29"/>
      <c r="B660" s="29"/>
      <c r="C660" s="32"/>
      <c r="D660" s="29"/>
      <c r="E660" s="34"/>
      <c r="F660" s="29"/>
      <c r="G660" s="45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</row>
    <row r="661" spans="1:18" x14ac:dyDescent="0.2">
      <c r="A661" s="29"/>
      <c r="B661" s="29"/>
      <c r="C661" s="32"/>
      <c r="D661" s="29"/>
      <c r="E661" s="34"/>
      <c r="F661" s="29"/>
      <c r="G661" s="45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</row>
    <row r="662" spans="1:18" x14ac:dyDescent="0.2">
      <c r="A662" s="29"/>
      <c r="B662" s="29"/>
      <c r="C662" s="32"/>
      <c r="D662" s="29"/>
      <c r="E662" s="34"/>
      <c r="F662" s="29"/>
      <c r="G662" s="45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</row>
    <row r="663" spans="1:18" x14ac:dyDescent="0.2">
      <c r="A663" s="29"/>
      <c r="B663" s="29"/>
      <c r="C663" s="32"/>
      <c r="D663" s="29"/>
      <c r="E663" s="34"/>
      <c r="F663" s="29"/>
      <c r="G663" s="45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</row>
    <row r="664" spans="1:18" x14ac:dyDescent="0.2">
      <c r="A664" s="29"/>
      <c r="B664" s="29"/>
      <c r="C664" s="32"/>
      <c r="D664" s="29"/>
      <c r="E664" s="34"/>
      <c r="F664" s="29"/>
      <c r="G664" s="45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</row>
    <row r="665" spans="1:18" x14ac:dyDescent="0.2">
      <c r="A665" s="29"/>
      <c r="B665" s="29"/>
      <c r="C665" s="32"/>
      <c r="D665" s="29"/>
      <c r="E665" s="34"/>
      <c r="F665" s="29"/>
      <c r="G665" s="45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</row>
    <row r="666" spans="1:18" x14ac:dyDescent="0.2">
      <c r="A666" s="29"/>
      <c r="B666" s="29"/>
      <c r="C666" s="32"/>
      <c r="D666" s="29"/>
      <c r="E666" s="34"/>
      <c r="F666" s="29"/>
      <c r="G666" s="45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</row>
    <row r="667" spans="1:18" x14ac:dyDescent="0.2">
      <c r="A667" s="29"/>
      <c r="B667" s="29"/>
      <c r="C667" s="32"/>
      <c r="D667" s="29"/>
      <c r="E667" s="34"/>
      <c r="F667" s="29"/>
      <c r="G667" s="45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</row>
    <row r="668" spans="1:18" x14ac:dyDescent="0.2">
      <c r="A668" s="29"/>
      <c r="B668" s="29"/>
      <c r="C668" s="32"/>
      <c r="D668" s="29"/>
      <c r="E668" s="34"/>
      <c r="F668" s="29"/>
      <c r="G668" s="45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</row>
    <row r="669" spans="1:18" x14ac:dyDescent="0.2">
      <c r="A669" s="29"/>
      <c r="B669" s="29"/>
      <c r="C669" s="32"/>
      <c r="D669" s="29"/>
      <c r="E669" s="34"/>
      <c r="F669" s="29"/>
      <c r="G669" s="45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</row>
    <row r="670" spans="1:18" x14ac:dyDescent="0.2">
      <c r="A670" s="29"/>
      <c r="B670" s="29"/>
      <c r="C670" s="32"/>
      <c r="D670" s="29"/>
      <c r="E670" s="34"/>
      <c r="F670" s="29"/>
      <c r="G670" s="45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</row>
    <row r="671" spans="1:18" x14ac:dyDescent="0.2">
      <c r="A671" s="29"/>
      <c r="B671" s="29"/>
      <c r="C671" s="32"/>
      <c r="D671" s="29"/>
      <c r="E671" s="34"/>
      <c r="F671" s="29"/>
      <c r="G671" s="45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</row>
    <row r="672" spans="1:18" x14ac:dyDescent="0.2">
      <c r="A672" s="29"/>
      <c r="B672" s="29"/>
      <c r="C672" s="32"/>
      <c r="D672" s="29"/>
      <c r="E672" s="34"/>
      <c r="F672" s="29"/>
      <c r="G672" s="45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</row>
    <row r="673" spans="1:18" x14ac:dyDescent="0.2">
      <c r="A673" s="29"/>
      <c r="B673" s="29"/>
      <c r="C673" s="32"/>
      <c r="D673" s="29"/>
      <c r="E673" s="34"/>
      <c r="F673" s="29"/>
      <c r="G673" s="45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</row>
    <row r="674" spans="1:18" x14ac:dyDescent="0.2">
      <c r="A674" s="29"/>
      <c r="B674" s="29"/>
      <c r="C674" s="32"/>
      <c r="D674" s="29"/>
      <c r="E674" s="34"/>
      <c r="F674" s="29"/>
      <c r="G674" s="45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</row>
    <row r="675" spans="1:18" x14ac:dyDescent="0.2">
      <c r="A675" s="29"/>
      <c r="B675" s="29"/>
      <c r="C675" s="32"/>
      <c r="D675" s="29"/>
      <c r="E675" s="34"/>
      <c r="F675" s="29"/>
      <c r="G675" s="45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</row>
    <row r="676" spans="1:18" x14ac:dyDescent="0.2">
      <c r="A676" s="29"/>
      <c r="B676" s="29"/>
      <c r="C676" s="32"/>
      <c r="D676" s="29"/>
      <c r="E676" s="34"/>
      <c r="F676" s="29"/>
      <c r="G676" s="45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</row>
    <row r="677" spans="1:18" x14ac:dyDescent="0.2">
      <c r="A677" s="29"/>
      <c r="B677" s="29"/>
      <c r="C677" s="32"/>
      <c r="D677" s="29"/>
      <c r="E677" s="34"/>
      <c r="F677" s="29"/>
      <c r="G677" s="45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</row>
    <row r="678" spans="1:18" x14ac:dyDescent="0.2">
      <c r="A678" s="29"/>
      <c r="B678" s="29"/>
      <c r="C678" s="32"/>
      <c r="D678" s="29"/>
      <c r="E678" s="34"/>
      <c r="F678" s="29"/>
      <c r="G678" s="45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</row>
    <row r="679" spans="1:18" x14ac:dyDescent="0.2">
      <c r="A679" s="29"/>
      <c r="B679" s="29"/>
      <c r="C679" s="32"/>
      <c r="D679" s="29"/>
      <c r="E679" s="34"/>
      <c r="F679" s="29"/>
      <c r="G679" s="45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</row>
    <row r="680" spans="1:18" x14ac:dyDescent="0.2">
      <c r="A680" s="29"/>
      <c r="B680" s="29"/>
      <c r="C680" s="32"/>
      <c r="D680" s="29"/>
      <c r="E680" s="34"/>
      <c r="F680" s="29"/>
      <c r="G680" s="45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</row>
    <row r="681" spans="1:18" x14ac:dyDescent="0.2">
      <c r="A681" s="29"/>
      <c r="B681" s="29"/>
      <c r="C681" s="32"/>
      <c r="D681" s="29"/>
      <c r="E681" s="34"/>
      <c r="F681" s="29"/>
      <c r="G681" s="45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</row>
    <row r="682" spans="1:18" x14ac:dyDescent="0.2">
      <c r="A682" s="29"/>
      <c r="B682" s="29"/>
      <c r="C682" s="32"/>
      <c r="D682" s="29"/>
      <c r="E682" s="34"/>
      <c r="F682" s="29"/>
      <c r="G682" s="45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</row>
    <row r="683" spans="1:18" x14ac:dyDescent="0.2">
      <c r="A683" s="29"/>
      <c r="B683" s="29"/>
      <c r="C683" s="32"/>
      <c r="D683" s="29"/>
      <c r="E683" s="34"/>
      <c r="F683" s="29"/>
      <c r="G683" s="45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</row>
    <row r="684" spans="1:18" x14ac:dyDescent="0.2">
      <c r="A684" s="29"/>
      <c r="B684" s="29"/>
      <c r="C684" s="32"/>
      <c r="D684" s="29"/>
      <c r="E684" s="34"/>
      <c r="F684" s="29"/>
      <c r="G684" s="45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</row>
    <row r="685" spans="1:18" x14ac:dyDescent="0.2">
      <c r="A685" s="29"/>
      <c r="B685" s="29"/>
      <c r="C685" s="32"/>
      <c r="D685" s="29"/>
      <c r="E685" s="34"/>
      <c r="F685" s="29"/>
      <c r="G685" s="45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</row>
    <row r="686" spans="1:18" x14ac:dyDescent="0.2">
      <c r="A686" s="29"/>
      <c r="B686" s="29"/>
      <c r="C686" s="32"/>
      <c r="D686" s="29"/>
      <c r="E686" s="34"/>
      <c r="F686" s="29"/>
      <c r="G686" s="45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</row>
    <row r="687" spans="1:18" x14ac:dyDescent="0.2">
      <c r="A687" s="29"/>
      <c r="B687" s="29"/>
      <c r="C687" s="32"/>
      <c r="D687" s="29"/>
      <c r="E687" s="34"/>
      <c r="F687" s="29"/>
      <c r="G687" s="45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</row>
    <row r="688" spans="1:18" x14ac:dyDescent="0.2">
      <c r="A688" s="29"/>
      <c r="B688" s="29"/>
      <c r="C688" s="32"/>
      <c r="D688" s="29"/>
      <c r="E688" s="34"/>
      <c r="F688" s="29"/>
      <c r="G688" s="45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</row>
    <row r="689" spans="1:18" x14ac:dyDescent="0.2">
      <c r="A689" s="29"/>
      <c r="B689" s="29"/>
      <c r="C689" s="32"/>
      <c r="D689" s="29"/>
      <c r="E689" s="34"/>
      <c r="F689" s="29"/>
      <c r="G689" s="45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</row>
    <row r="690" spans="1:18" x14ac:dyDescent="0.2">
      <c r="A690" s="29"/>
      <c r="B690" s="29"/>
      <c r="C690" s="32"/>
      <c r="D690" s="29"/>
      <c r="E690" s="34"/>
      <c r="F690" s="29"/>
      <c r="G690" s="45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</row>
    <row r="691" spans="1:18" x14ac:dyDescent="0.2">
      <c r="A691" s="29"/>
      <c r="B691" s="29"/>
      <c r="C691" s="32"/>
      <c r="D691" s="29"/>
      <c r="E691" s="34"/>
      <c r="F691" s="29"/>
      <c r="G691" s="45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</row>
    <row r="692" spans="1:18" x14ac:dyDescent="0.2">
      <c r="A692" s="29"/>
      <c r="B692" s="29"/>
      <c r="C692" s="32"/>
      <c r="D692" s="29"/>
      <c r="E692" s="34"/>
      <c r="F692" s="29"/>
      <c r="G692" s="45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</row>
    <row r="693" spans="1:18" x14ac:dyDescent="0.2">
      <c r="A693" s="29"/>
      <c r="B693" s="29"/>
      <c r="C693" s="32"/>
      <c r="D693" s="29"/>
      <c r="E693" s="34"/>
      <c r="F693" s="29"/>
      <c r="G693" s="45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</row>
    <row r="694" spans="1:18" x14ac:dyDescent="0.2">
      <c r="A694" s="29"/>
      <c r="B694" s="29"/>
      <c r="C694" s="32"/>
      <c r="D694" s="29"/>
      <c r="E694" s="34"/>
      <c r="F694" s="29"/>
      <c r="G694" s="45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</row>
    <row r="695" spans="1:18" x14ac:dyDescent="0.2">
      <c r="A695" s="29"/>
      <c r="B695" s="29"/>
      <c r="C695" s="32"/>
      <c r="D695" s="29"/>
      <c r="E695" s="34"/>
      <c r="F695" s="29"/>
      <c r="G695" s="45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</row>
    <row r="696" spans="1:18" x14ac:dyDescent="0.2">
      <c r="A696" s="29"/>
      <c r="B696" s="29"/>
      <c r="C696" s="32"/>
      <c r="D696" s="29"/>
      <c r="E696" s="34"/>
      <c r="F696" s="29"/>
      <c r="G696" s="45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</row>
    <row r="697" spans="1:18" x14ac:dyDescent="0.2">
      <c r="A697" s="29"/>
      <c r="B697" s="29"/>
      <c r="C697" s="32"/>
      <c r="D697" s="29"/>
      <c r="E697" s="34"/>
      <c r="F697" s="29"/>
      <c r="G697" s="45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</row>
    <row r="698" spans="1:18" x14ac:dyDescent="0.2">
      <c r="A698" s="29"/>
      <c r="B698" s="29"/>
      <c r="C698" s="32"/>
      <c r="D698" s="29"/>
      <c r="E698" s="34"/>
      <c r="F698" s="29"/>
      <c r="G698" s="45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</row>
    <row r="699" spans="1:18" x14ac:dyDescent="0.2">
      <c r="A699" s="29"/>
      <c r="B699" s="29"/>
      <c r="C699" s="32"/>
      <c r="D699" s="29"/>
      <c r="E699" s="34"/>
      <c r="F699" s="29"/>
      <c r="G699" s="45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</row>
    <row r="700" spans="1:18" x14ac:dyDescent="0.2">
      <c r="A700" s="29"/>
      <c r="B700" s="29"/>
      <c r="C700" s="32"/>
      <c r="D700" s="29"/>
      <c r="E700" s="34"/>
      <c r="F700" s="29"/>
      <c r="G700" s="45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</row>
    <row r="701" spans="1:18" x14ac:dyDescent="0.2">
      <c r="A701" s="29"/>
      <c r="B701" s="29"/>
      <c r="C701" s="32"/>
      <c r="D701" s="29"/>
      <c r="E701" s="34"/>
      <c r="F701" s="29"/>
      <c r="G701" s="45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</row>
    <row r="702" spans="1:18" x14ac:dyDescent="0.2">
      <c r="A702" s="29"/>
      <c r="B702" s="29"/>
      <c r="C702" s="32"/>
      <c r="D702" s="29"/>
      <c r="E702" s="34"/>
      <c r="F702" s="29"/>
      <c r="G702" s="45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</row>
    <row r="703" spans="1:18" x14ac:dyDescent="0.2">
      <c r="A703" s="29"/>
      <c r="B703" s="29"/>
      <c r="C703" s="32"/>
      <c r="D703" s="29"/>
      <c r="E703" s="34"/>
      <c r="F703" s="29"/>
      <c r="G703" s="45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</row>
    <row r="704" spans="1:18" x14ac:dyDescent="0.2">
      <c r="A704" s="29"/>
      <c r="B704" s="29"/>
      <c r="C704" s="32"/>
      <c r="D704" s="29"/>
      <c r="E704" s="34"/>
      <c r="F704" s="29"/>
      <c r="G704" s="45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</row>
    <row r="705" spans="1:18" x14ac:dyDescent="0.2">
      <c r="A705" s="29"/>
      <c r="B705" s="29"/>
      <c r="C705" s="32"/>
      <c r="D705" s="29"/>
      <c r="E705" s="34"/>
      <c r="F705" s="29"/>
      <c r="G705" s="45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</row>
    <row r="706" spans="1:18" x14ac:dyDescent="0.2">
      <c r="A706" s="29"/>
      <c r="B706" s="29"/>
      <c r="C706" s="32"/>
      <c r="D706" s="29"/>
      <c r="E706" s="34"/>
      <c r="F706" s="29"/>
      <c r="G706" s="45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</row>
    <row r="707" spans="1:18" x14ac:dyDescent="0.2">
      <c r="A707" s="29"/>
      <c r="B707" s="29"/>
      <c r="C707" s="32"/>
      <c r="D707" s="29"/>
      <c r="E707" s="34"/>
      <c r="F707" s="29"/>
      <c r="G707" s="45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</row>
    <row r="708" spans="1:18" x14ac:dyDescent="0.2">
      <c r="A708" s="29"/>
      <c r="B708" s="29"/>
      <c r="C708" s="32"/>
      <c r="D708" s="29"/>
      <c r="E708" s="34"/>
      <c r="F708" s="29"/>
      <c r="G708" s="45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</row>
    <row r="709" spans="1:18" x14ac:dyDescent="0.2">
      <c r="A709" s="29"/>
      <c r="B709" s="29"/>
      <c r="C709" s="32"/>
      <c r="D709" s="29"/>
      <c r="E709" s="34"/>
      <c r="F709" s="29"/>
      <c r="G709" s="45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</row>
    <row r="710" spans="1:18" x14ac:dyDescent="0.2">
      <c r="A710" s="29"/>
      <c r="B710" s="29"/>
      <c r="C710" s="32"/>
      <c r="D710" s="29"/>
      <c r="E710" s="34"/>
      <c r="F710" s="29"/>
      <c r="G710" s="45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</row>
    <row r="711" spans="1:18" x14ac:dyDescent="0.2">
      <c r="A711" s="29"/>
      <c r="B711" s="29"/>
      <c r="C711" s="32"/>
      <c r="D711" s="29"/>
      <c r="E711" s="34"/>
      <c r="F711" s="29"/>
      <c r="G711" s="45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</row>
    <row r="712" spans="1:18" x14ac:dyDescent="0.2">
      <c r="A712" s="29"/>
      <c r="B712" s="29"/>
      <c r="C712" s="32"/>
      <c r="D712" s="29"/>
      <c r="E712" s="34"/>
      <c r="F712" s="29"/>
      <c r="G712" s="45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</row>
    <row r="713" spans="1:18" x14ac:dyDescent="0.2">
      <c r="A713" s="29"/>
      <c r="B713" s="29"/>
      <c r="C713" s="32"/>
      <c r="D713" s="29"/>
      <c r="E713" s="34"/>
      <c r="F713" s="29"/>
      <c r="G713" s="45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</row>
    <row r="714" spans="1:18" x14ac:dyDescent="0.2">
      <c r="A714" s="29"/>
      <c r="B714" s="29"/>
      <c r="C714" s="32"/>
      <c r="D714" s="29"/>
      <c r="E714" s="34"/>
      <c r="F714" s="29"/>
      <c r="G714" s="45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</row>
    <row r="715" spans="1:18" x14ac:dyDescent="0.2">
      <c r="A715" s="29"/>
      <c r="B715" s="29"/>
      <c r="C715" s="32"/>
      <c r="D715" s="29"/>
      <c r="E715" s="34"/>
      <c r="F715" s="29"/>
      <c r="G715" s="45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</row>
    <row r="716" spans="1:18" x14ac:dyDescent="0.2">
      <c r="A716" s="29"/>
      <c r="B716" s="29"/>
      <c r="C716" s="32"/>
      <c r="D716" s="29"/>
      <c r="E716" s="34"/>
      <c r="F716" s="29"/>
      <c r="G716" s="45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</row>
    <row r="717" spans="1:18" x14ac:dyDescent="0.2">
      <c r="A717" s="29"/>
      <c r="B717" s="29"/>
      <c r="C717" s="32"/>
      <c r="D717" s="29"/>
      <c r="E717" s="34"/>
      <c r="F717" s="29"/>
      <c r="G717" s="45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</row>
    <row r="718" spans="1:18" x14ac:dyDescent="0.2">
      <c r="A718" s="29"/>
      <c r="B718" s="29"/>
      <c r="C718" s="32"/>
      <c r="D718" s="29"/>
      <c r="E718" s="34"/>
      <c r="F718" s="29"/>
      <c r="G718" s="45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</row>
    <row r="719" spans="1:18" x14ac:dyDescent="0.2">
      <c r="A719" s="29"/>
      <c r="B719" s="29"/>
      <c r="C719" s="32"/>
      <c r="D719" s="29"/>
      <c r="E719" s="34"/>
      <c r="F719" s="29"/>
      <c r="G719" s="45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</row>
    <row r="720" spans="1:18" x14ac:dyDescent="0.2">
      <c r="A720" s="29"/>
      <c r="B720" s="29"/>
      <c r="C720" s="32"/>
      <c r="D720" s="29"/>
      <c r="E720" s="34"/>
      <c r="F720" s="29"/>
      <c r="G720" s="45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</row>
    <row r="721" spans="1:18" x14ac:dyDescent="0.2">
      <c r="A721" s="29"/>
      <c r="B721" s="29"/>
      <c r="C721" s="32"/>
      <c r="D721" s="29"/>
      <c r="E721" s="34"/>
      <c r="F721" s="29"/>
      <c r="G721" s="45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</row>
    <row r="722" spans="1:18" x14ac:dyDescent="0.2">
      <c r="A722" s="29"/>
      <c r="B722" s="29"/>
      <c r="C722" s="32"/>
      <c r="D722" s="29"/>
      <c r="E722" s="34"/>
      <c r="F722" s="29"/>
      <c r="G722" s="45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</row>
    <row r="723" spans="1:18" x14ac:dyDescent="0.2">
      <c r="A723" s="29"/>
      <c r="B723" s="29"/>
      <c r="C723" s="32"/>
      <c r="D723" s="29"/>
      <c r="E723" s="34"/>
      <c r="F723" s="29"/>
      <c r="G723" s="45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</row>
    <row r="724" spans="1:18" x14ac:dyDescent="0.2">
      <c r="A724" s="29"/>
      <c r="B724" s="29"/>
      <c r="C724" s="32"/>
      <c r="D724" s="29"/>
      <c r="E724" s="34"/>
      <c r="F724" s="29"/>
      <c r="G724" s="45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</row>
    <row r="725" spans="1:18" x14ac:dyDescent="0.2">
      <c r="A725" s="29"/>
      <c r="B725" s="29"/>
      <c r="C725" s="32"/>
      <c r="D725" s="29"/>
      <c r="E725" s="34"/>
      <c r="F725" s="29"/>
      <c r="G725" s="45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</row>
    <row r="726" spans="1:18" x14ac:dyDescent="0.2">
      <c r="A726" s="29"/>
      <c r="B726" s="29"/>
      <c r="C726" s="32"/>
      <c r="D726" s="29"/>
      <c r="E726" s="34"/>
      <c r="F726" s="29"/>
      <c r="G726" s="45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</row>
    <row r="727" spans="1:18" x14ac:dyDescent="0.2">
      <c r="A727" s="29"/>
      <c r="B727" s="29"/>
      <c r="C727" s="32"/>
      <c r="D727" s="29"/>
      <c r="E727" s="34"/>
      <c r="F727" s="29"/>
      <c r="G727" s="45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</row>
    <row r="728" spans="1:18" x14ac:dyDescent="0.2">
      <c r="A728" s="29"/>
      <c r="B728" s="29"/>
      <c r="C728" s="32"/>
      <c r="D728" s="29"/>
      <c r="E728" s="34"/>
      <c r="F728" s="29"/>
      <c r="G728" s="45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</row>
    <row r="729" spans="1:18" x14ac:dyDescent="0.2">
      <c r="A729" s="29"/>
      <c r="B729" s="29"/>
      <c r="C729" s="32"/>
      <c r="D729" s="29"/>
      <c r="E729" s="34"/>
      <c r="F729" s="29"/>
      <c r="G729" s="45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</row>
    <row r="730" spans="1:18" x14ac:dyDescent="0.2">
      <c r="A730" s="29"/>
      <c r="B730" s="29"/>
      <c r="C730" s="32"/>
      <c r="D730" s="29"/>
      <c r="E730" s="34"/>
      <c r="F730" s="29"/>
      <c r="G730" s="45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</row>
    <row r="731" spans="1:18" x14ac:dyDescent="0.2">
      <c r="A731" s="29"/>
      <c r="B731" s="29"/>
      <c r="C731" s="32"/>
      <c r="D731" s="29"/>
      <c r="E731" s="34"/>
      <c r="F731" s="29"/>
      <c r="G731" s="45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</row>
    <row r="732" spans="1:18" x14ac:dyDescent="0.2">
      <c r="A732" s="29"/>
      <c r="B732" s="29"/>
      <c r="C732" s="32"/>
      <c r="D732" s="29"/>
      <c r="E732" s="34"/>
      <c r="F732" s="29"/>
      <c r="G732" s="45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</row>
    <row r="733" spans="1:18" x14ac:dyDescent="0.2">
      <c r="A733" s="29"/>
      <c r="B733" s="29"/>
      <c r="C733" s="32"/>
      <c r="D733" s="29"/>
      <c r="E733" s="34"/>
      <c r="F733" s="29"/>
      <c r="G733" s="45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</row>
    <row r="734" spans="1:18" x14ac:dyDescent="0.2">
      <c r="A734" s="29"/>
      <c r="B734" s="29"/>
      <c r="C734" s="32"/>
      <c r="D734" s="29"/>
      <c r="E734" s="34"/>
      <c r="F734" s="29"/>
      <c r="G734" s="45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</row>
    <row r="735" spans="1:18" x14ac:dyDescent="0.2">
      <c r="A735" s="29"/>
      <c r="B735" s="29"/>
      <c r="C735" s="32"/>
      <c r="D735" s="29"/>
      <c r="E735" s="34"/>
      <c r="F735" s="29"/>
      <c r="G735" s="45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</row>
    <row r="736" spans="1:18" x14ac:dyDescent="0.2">
      <c r="A736" s="29"/>
      <c r="B736" s="29"/>
      <c r="C736" s="32"/>
      <c r="D736" s="29"/>
      <c r="E736" s="34"/>
      <c r="F736" s="29"/>
      <c r="G736" s="45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</row>
    <row r="737" spans="1:18" x14ac:dyDescent="0.2">
      <c r="A737" s="29"/>
      <c r="B737" s="29"/>
      <c r="C737" s="32"/>
      <c r="D737" s="29"/>
      <c r="E737" s="34"/>
      <c r="F737" s="29"/>
      <c r="G737" s="45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</row>
    <row r="738" spans="1:18" x14ac:dyDescent="0.2">
      <c r="A738" s="29"/>
      <c r="B738" s="29"/>
      <c r="C738" s="32"/>
      <c r="D738" s="29"/>
      <c r="E738" s="34"/>
      <c r="F738" s="29"/>
      <c r="G738" s="45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</row>
    <row r="739" spans="1:18" x14ac:dyDescent="0.2">
      <c r="A739" s="29"/>
      <c r="B739" s="29"/>
      <c r="C739" s="32"/>
      <c r="D739" s="29"/>
      <c r="E739" s="34"/>
      <c r="F739" s="29"/>
      <c r="G739" s="45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</row>
    <row r="740" spans="1:18" x14ac:dyDescent="0.2">
      <c r="A740" s="29"/>
      <c r="B740" s="29"/>
      <c r="C740" s="32"/>
      <c r="D740" s="29"/>
      <c r="E740" s="34"/>
      <c r="F740" s="29"/>
      <c r="G740" s="45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</row>
    <row r="741" spans="1:18" x14ac:dyDescent="0.2">
      <c r="A741" s="29"/>
      <c r="B741" s="29"/>
      <c r="C741" s="32"/>
      <c r="D741" s="29"/>
      <c r="E741" s="34"/>
      <c r="F741" s="29"/>
      <c r="G741" s="45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</row>
    <row r="742" spans="1:18" x14ac:dyDescent="0.2">
      <c r="A742" s="29"/>
      <c r="B742" s="29"/>
      <c r="C742" s="32"/>
      <c r="D742" s="29"/>
      <c r="E742" s="34"/>
      <c r="F742" s="29"/>
      <c r="G742" s="45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</row>
    <row r="743" spans="1:18" x14ac:dyDescent="0.2">
      <c r="A743" s="29"/>
      <c r="B743" s="29"/>
      <c r="C743" s="32"/>
      <c r="D743" s="29"/>
      <c r="E743" s="34"/>
      <c r="F743" s="29"/>
      <c r="G743" s="45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</row>
    <row r="744" spans="1:18" x14ac:dyDescent="0.2">
      <c r="A744" s="29"/>
      <c r="B744" s="29"/>
      <c r="C744" s="32"/>
      <c r="D744" s="29"/>
      <c r="E744" s="34"/>
      <c r="F744" s="29"/>
      <c r="G744" s="45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</row>
    <row r="745" spans="1:18" x14ac:dyDescent="0.2">
      <c r="A745" s="29"/>
      <c r="B745" s="29"/>
      <c r="C745" s="32"/>
      <c r="D745" s="29"/>
      <c r="E745" s="34"/>
      <c r="F745" s="29"/>
      <c r="G745" s="45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</row>
    <row r="746" spans="1:18" x14ac:dyDescent="0.2">
      <c r="A746" s="29"/>
      <c r="B746" s="29"/>
      <c r="C746" s="32"/>
      <c r="D746" s="29"/>
      <c r="E746" s="34"/>
      <c r="F746" s="29"/>
      <c r="G746" s="45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</row>
    <row r="747" spans="1:18" x14ac:dyDescent="0.2">
      <c r="A747" s="29"/>
      <c r="B747" s="29"/>
      <c r="C747" s="32"/>
      <c r="D747" s="29"/>
      <c r="E747" s="34"/>
      <c r="F747" s="29"/>
      <c r="G747" s="45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</row>
    <row r="748" spans="1:18" x14ac:dyDescent="0.2">
      <c r="A748" s="29"/>
      <c r="B748" s="29"/>
      <c r="C748" s="32"/>
      <c r="D748" s="29"/>
      <c r="E748" s="34"/>
      <c r="F748" s="29"/>
      <c r="G748" s="45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</row>
    <row r="749" spans="1:18" x14ac:dyDescent="0.2">
      <c r="A749" s="29"/>
      <c r="B749" s="29"/>
      <c r="C749" s="32"/>
      <c r="D749" s="29"/>
      <c r="E749" s="34"/>
      <c r="F749" s="29"/>
      <c r="G749" s="45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</row>
    <row r="750" spans="1:18" x14ac:dyDescent="0.2">
      <c r="A750" s="29"/>
      <c r="B750" s="29"/>
      <c r="C750" s="32"/>
      <c r="D750" s="29"/>
      <c r="E750" s="34"/>
      <c r="F750" s="29"/>
      <c r="G750" s="45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</row>
    <row r="751" spans="1:18" x14ac:dyDescent="0.2">
      <c r="A751" s="29"/>
      <c r="B751" s="29"/>
      <c r="C751" s="32"/>
      <c r="D751" s="29"/>
      <c r="E751" s="34"/>
      <c r="F751" s="29"/>
      <c r="G751" s="45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</row>
    <row r="752" spans="1:18" x14ac:dyDescent="0.2">
      <c r="A752" s="29"/>
      <c r="B752" s="29"/>
      <c r="C752" s="32"/>
      <c r="D752" s="29"/>
      <c r="E752" s="34"/>
      <c r="F752" s="29"/>
      <c r="G752" s="45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</row>
    <row r="753" spans="1:18" x14ac:dyDescent="0.2">
      <c r="A753" s="29"/>
      <c r="B753" s="29"/>
      <c r="C753" s="32"/>
      <c r="D753" s="29"/>
      <c r="E753" s="34"/>
      <c r="F753" s="29"/>
      <c r="G753" s="45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</row>
  </sheetData>
  <autoFilter ref="A1:R4"/>
  <sortState ref="A2:S753">
    <sortCondition ref="E2:E753"/>
  </sortState>
  <conditionalFormatting sqref="N1:N1048576">
    <cfRule type="cellIs" dxfId="24" priority="45" operator="equal">
      <formula>"Entered"</formula>
    </cfRule>
  </conditionalFormatting>
  <conditionalFormatting sqref="B1:B1048576">
    <cfRule type="expression" dxfId="23" priority="34">
      <formula>ISNA(B1)</formula>
    </cfRule>
  </conditionalFormatting>
  <conditionalFormatting sqref="H1:H1048576">
    <cfRule type="containsText" dxfId="22" priority="20" operator="containsText" text="Cash">
      <formula>NOT(ISERROR(SEARCH("Cash",H1)))</formula>
    </cfRule>
    <cfRule type="containsText" dxfId="21" priority="26" operator="containsText" text="Cheque">
      <formula>NOT(ISERROR(SEARCH("Cheque",H1)))</formula>
    </cfRule>
  </conditionalFormatting>
  <conditionalFormatting sqref="F1:F1048576">
    <cfRule type="duplicateValues" dxfId="20" priority="60"/>
  </conditionalFormatting>
  <dataValidations count="3">
    <dataValidation type="date" errorStyle="warning" showInputMessage="1" showErrorMessage="1" errorTitle="Invalid Date" error="Date should be within the current Financial Year!" sqref="E1:E1048576">
      <formula1>41365</formula1>
      <formula2>41729</formula2>
    </dataValidation>
    <dataValidation type="list" showInputMessage="1" showErrorMessage="1" errorTitle="Invalid Value" error="Invalid Account Type Entered" sqref="G1:G1048576">
      <formula1>"Land and Building Fund, Subscription, Subscription Arrears, Tithe, One Day Income, Harvest Festival Auction, Harvest Festival Donation, Miscellaneous Contributions, Baptism Contribution, Baptism Offertory, Baptism Thanks Giving, Uposhanam"</formula1>
    </dataValidation>
    <dataValidation type="list" showInputMessage="1" showErrorMessage="1" errorTitle="Invalid Value" error="Only &quot;Cash&quot; or &quot;Cheque&quot; allowed" sqref="H1:H1048576">
      <formula1>"Cash, Cheque, EFT"</formula1>
    </dataValidation>
  </dataValidations>
  <printOptions gridLines="1"/>
  <pageMargins left="0.23622047244094491" right="0.23622047244094491" top="0.74803149606299213" bottom="0.74803149606299213" header="0.31496062992125984" footer="0.31496062992125984"/>
  <pageSetup paperSize="9" fitToHeight="0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C228E22-4278-4267-AAE5-871CBEC2670F}">
            <xm:f>NOT(ISERROR(SEARCH("EFT",H1)))</xm:f>
            <xm:f>"EFT"</xm:f>
            <x14:dxf>
              <fill>
                <patternFill>
                  <bgColor theme="3" tint="0.59996337778862885"/>
                </patternFill>
              </fill>
            </x14:dxf>
          </x14:cfRule>
          <xm:sqref>H1:H1048576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Not in List" error="The name enetered is not in the Church Members List">
          <x14:formula1>
            <xm:f>'List of Members'!$A$2:$A$2</xm:f>
          </x14:formula1>
          <xm:sqref>C1 C754:C1048576</xm:sqref>
        </x14:dataValidation>
        <x14:dataValidation type="list" errorStyle="warning" allowBlank="1" showInputMessage="1" showErrorMessage="1" errorTitle="Not in List" error="The name enetered is not in the Church Members List">
          <x14:formula1>
            <xm:f>'List of Members'!$A$2:$A$25</xm:f>
          </x14:formula1>
          <xm:sqref>C2:C753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N312"/>
  <sheetViews>
    <sheetView zoomScale="115" zoomScaleNormal="115" workbookViewId="0">
      <pane ySplit="1" topLeftCell="A2" activePane="bottomLeft" state="frozen"/>
      <selection activeCell="F284" sqref="F284"/>
      <selection pane="bottomLeft" activeCell="M20" sqref="M20"/>
    </sheetView>
  </sheetViews>
  <sheetFormatPr defaultColWidth="6.85546875" defaultRowHeight="12.75" x14ac:dyDescent="0.2"/>
  <cols>
    <col min="1" max="1" width="24.140625" style="16" customWidth="1"/>
    <col min="2" max="2" width="4.7109375" style="26" customWidth="1"/>
    <col min="3" max="3" width="4.85546875" style="27" customWidth="1"/>
    <col min="4" max="4" width="4.42578125" style="16" customWidth="1"/>
    <col min="5" max="5" width="1.85546875" style="27" customWidth="1"/>
    <col min="6" max="7" width="2" style="27" customWidth="1"/>
    <col min="8" max="10" width="1.5703125" style="27" customWidth="1"/>
    <col min="11" max="11" width="2.28515625" style="16" customWidth="1"/>
    <col min="12" max="12" width="3" style="16" customWidth="1"/>
    <col min="13" max="13" width="81.85546875" style="16" customWidth="1"/>
    <col min="14" max="15" width="6.85546875" style="16"/>
    <col min="16" max="16" width="23.140625" style="16" customWidth="1"/>
    <col min="17" max="17" width="30" style="16" customWidth="1"/>
    <col min="18" max="16384" width="6.85546875" style="16"/>
  </cols>
  <sheetData>
    <row r="1" spans="1:14" x14ac:dyDescent="0.2">
      <c r="A1" s="11" t="s">
        <v>2</v>
      </c>
      <c r="B1" s="12" t="s">
        <v>72</v>
      </c>
      <c r="C1" s="13" t="s">
        <v>73</v>
      </c>
      <c r="D1" s="14" t="s">
        <v>74</v>
      </c>
      <c r="E1" s="14" t="s">
        <v>75</v>
      </c>
      <c r="F1" s="15" t="s">
        <v>76</v>
      </c>
      <c r="G1" s="14" t="s">
        <v>77</v>
      </c>
      <c r="H1" s="14" t="s">
        <v>78</v>
      </c>
      <c r="I1" s="14" t="s">
        <v>79</v>
      </c>
      <c r="J1" s="14" t="s">
        <v>80</v>
      </c>
      <c r="K1" s="14" t="s">
        <v>81</v>
      </c>
      <c r="L1" s="11" t="s">
        <v>82</v>
      </c>
      <c r="M1" s="11" t="s">
        <v>83</v>
      </c>
      <c r="N1" s="11" t="s">
        <v>84</v>
      </c>
    </row>
    <row r="2" spans="1:14" x14ac:dyDescent="0.2">
      <c r="A2" s="16" t="s">
        <v>2</v>
      </c>
      <c r="B2" s="17">
        <v>1</v>
      </c>
      <c r="C2" s="18">
        <v>1</v>
      </c>
      <c r="D2" s="20" t="s">
        <v>85</v>
      </c>
      <c r="E2" s="20" t="s">
        <v>113</v>
      </c>
      <c r="F2" s="20" t="s">
        <v>114</v>
      </c>
      <c r="G2" s="20" t="s">
        <v>115</v>
      </c>
      <c r="H2" s="20" t="s">
        <v>116</v>
      </c>
      <c r="I2" s="20" t="s">
        <v>118</v>
      </c>
      <c r="J2" s="19" t="s">
        <v>117</v>
      </c>
      <c r="K2" s="19" t="s">
        <v>119</v>
      </c>
      <c r="L2" s="21" t="s">
        <v>82</v>
      </c>
      <c r="M2" s="22" t="str">
        <f>(Table25[[#This Row],[Address Line 1]]&amp;", "&amp;Table25[[#This Row],[Address Line 2]]&amp;", "&amp;Table25[[#This Row],[Address Line 3]]&amp;" ,"&amp;Table25[[#This Row],[Address Line 4]]&amp;", "&amp;Table25[[#This Row],[Address Line 5]])</f>
        <v>A 306, Mantri Sunshine, Dibidibinahalli, Outer Ring Rd ,Dodanakundi PO, Bangalore 12</v>
      </c>
      <c r="N2" s="21" t="s">
        <v>120</v>
      </c>
    </row>
    <row r="3" spans="1:14" x14ac:dyDescent="0.2">
      <c r="A3" s="25" t="s">
        <v>89</v>
      </c>
      <c r="B3" s="41">
        <v>2</v>
      </c>
      <c r="C3" s="23">
        <v>2</v>
      </c>
      <c r="D3" s="25" t="s">
        <v>85</v>
      </c>
      <c r="E3" s="25" t="s">
        <v>90</v>
      </c>
      <c r="F3" s="25" t="s">
        <v>91</v>
      </c>
      <c r="G3" s="25" t="s">
        <v>92</v>
      </c>
      <c r="H3" s="25" t="s">
        <v>93</v>
      </c>
      <c r="I3" s="25" t="s">
        <v>94</v>
      </c>
      <c r="J3" s="25" t="s">
        <v>95</v>
      </c>
      <c r="K3" s="25" t="s">
        <v>96</v>
      </c>
      <c r="L3" s="24"/>
      <c r="M3" s="42" t="str">
        <f>(Table25[[#This Row],[Address Line 1]]&amp;", "&amp;Table25[[#This Row],[Address Line 2]]&amp;", "&amp;Table25[[#This Row],[Address Line 3]]&amp;" ,"&amp;Table25[[#This Row],[Address Line 4]]&amp;", "&amp;Table25[[#This Row],[Address Line 5]])</f>
        <v>No 1 Some Flat, Some Place, Some Locality ,Some Area, Some City</v>
      </c>
      <c r="N3" s="25" t="s">
        <v>97</v>
      </c>
    </row>
    <row r="4" spans="1:14" x14ac:dyDescent="0.2">
      <c r="A4" s="25" t="s">
        <v>103</v>
      </c>
      <c r="B4" s="41">
        <v>2</v>
      </c>
      <c r="C4" s="23">
        <v>3</v>
      </c>
      <c r="D4" s="25" t="s">
        <v>104</v>
      </c>
      <c r="E4" s="25" t="s">
        <v>105</v>
      </c>
      <c r="F4" s="25" t="s">
        <v>106</v>
      </c>
      <c r="G4" s="25" t="s">
        <v>107</v>
      </c>
      <c r="H4" s="25" t="s">
        <v>108</v>
      </c>
      <c r="I4" s="25" t="s">
        <v>109</v>
      </c>
      <c r="J4" s="25" t="s">
        <v>110</v>
      </c>
      <c r="K4" s="25"/>
      <c r="L4" s="24"/>
      <c r="M4" s="42" t="str">
        <f>(Table25[[#This Row],[Address Line 1]]&amp;", "&amp;Table25[[#This Row],[Address Line 2]]&amp;", "&amp;Table25[[#This Row],[Address Line 3]]&amp;" ,"&amp;Table25[[#This Row],[Address Line 4]]&amp;", "&amp;Table25[[#This Row],[Address Line 5]])</f>
        <v xml:space="preserve">A 2, Some Flat, Some other Place, Some other Locality, Some other Area ,Some Other City, </v>
      </c>
      <c r="N4" s="25" t="s">
        <v>111</v>
      </c>
    </row>
    <row r="89" spans="1:14" ht="12.75" customHeight="1" x14ac:dyDescent="0.2"/>
    <row r="95" spans="1:14" s="39" customFormat="1" x14ac:dyDescent="0.2">
      <c r="A95" s="16"/>
      <c r="B95" s="26"/>
      <c r="C95" s="27"/>
      <c r="D95" s="16"/>
      <c r="E95" s="27"/>
      <c r="F95" s="27"/>
      <c r="G95" s="27"/>
      <c r="H95" s="27"/>
      <c r="I95" s="27"/>
      <c r="J95" s="27"/>
      <c r="K95" s="16"/>
      <c r="L95" s="16"/>
      <c r="M95" s="16"/>
      <c r="N95" s="16"/>
    </row>
    <row r="109" spans="1:14" s="39" customFormat="1" x14ac:dyDescent="0.2">
      <c r="A109" s="16"/>
      <c r="B109" s="26"/>
      <c r="C109" s="27"/>
      <c r="D109" s="16"/>
      <c r="E109" s="27"/>
      <c r="F109" s="27"/>
      <c r="G109" s="27"/>
      <c r="H109" s="27"/>
      <c r="I109" s="27"/>
      <c r="J109" s="27"/>
      <c r="K109" s="16"/>
      <c r="L109" s="16"/>
      <c r="M109" s="16"/>
      <c r="N109" s="16"/>
    </row>
    <row r="312" spans="1:14" s="39" customFormat="1" x14ac:dyDescent="0.2">
      <c r="A312" s="16"/>
      <c r="B312" s="26"/>
      <c r="C312" s="27"/>
      <c r="D312" s="16"/>
      <c r="E312" s="27"/>
      <c r="F312" s="27"/>
      <c r="G312" s="27"/>
      <c r="H312" s="27"/>
      <c r="I312" s="27"/>
      <c r="J312" s="27"/>
      <c r="K312" s="16"/>
      <c r="L312" s="16"/>
      <c r="M312" s="16"/>
      <c r="N312" s="16"/>
    </row>
  </sheetData>
  <sheetProtection algorithmName="SHA-512" hashValue="bfPDtm0csU+iQep+70BM5BP6l9X3dZt6c9wFe1rrwwyh7DB4/VvlSrHf3wtIWq9fLCaC3yJhXSAGi051AXWE4A==" saltValue="kMJYpsFSyoRB+itkiASuWg==" spinCount="100000" sheet="1" objects="1" scenarios="1"/>
  <pageMargins left="0.75" right="0.75" top="1" bottom="1" header="0.5" footer="0.5"/>
  <pageSetup paperSize="9" scale="19" fitToHeight="3" orientation="portrait" horizontalDpi="4294967293" verticalDpi="300" r:id="rId1"/>
  <headerFooter alignWithMargins="0">
    <oddFooter xml:space="preserve">&amp;CPage &amp;P of &amp;N&amp;RYours in Christ Rev K M Johnson (Vicar)
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7"/>
  <sheetViews>
    <sheetView topLeftCell="A7" workbookViewId="0">
      <selection activeCell="A35" sqref="A35"/>
    </sheetView>
  </sheetViews>
  <sheetFormatPr defaultRowHeight="15" x14ac:dyDescent="0.25"/>
  <cols>
    <col min="1" max="1" width="51.140625" style="7" bestFit="1" customWidth="1"/>
    <col min="2" max="2" width="34.85546875" style="7" bestFit="1" customWidth="1"/>
    <col min="3" max="3" width="38.42578125" style="7" hidden="1" customWidth="1"/>
    <col min="4" max="4" width="15.7109375" style="7" hidden="1" customWidth="1"/>
    <col min="5" max="5" width="58.140625" style="7" bestFit="1" customWidth="1"/>
    <col min="6" max="6" width="20.140625" style="7" bestFit="1" customWidth="1"/>
    <col min="7" max="7" width="21.5703125" style="7" hidden="1" customWidth="1"/>
    <col min="8" max="8" width="21.85546875" style="7" hidden="1" customWidth="1"/>
    <col min="9" max="16384" width="9.140625" style="7"/>
  </cols>
  <sheetData>
    <row r="1" spans="1:8" x14ac:dyDescent="0.25">
      <c r="A1" s="5" t="s">
        <v>37</v>
      </c>
      <c r="B1" s="5" t="s">
        <v>40</v>
      </c>
      <c r="C1" s="5" t="s">
        <v>41</v>
      </c>
      <c r="D1" s="5" t="s">
        <v>53</v>
      </c>
      <c r="E1" s="6" t="s">
        <v>68</v>
      </c>
      <c r="F1" s="5" t="s">
        <v>61</v>
      </c>
      <c r="G1" s="6" t="s">
        <v>39</v>
      </c>
      <c r="H1" s="6" t="s">
        <v>42</v>
      </c>
    </row>
    <row r="2" spans="1:8" x14ac:dyDescent="0.25">
      <c r="A2" s="8" t="s">
        <v>16</v>
      </c>
      <c r="B2" s="38" t="s">
        <v>12</v>
      </c>
      <c r="C2" s="8" t="str">
        <f t="shared" ref="C2:C20" si="0">MID(G2,2,1)</f>
        <v>F</v>
      </c>
      <c r="D2" s="8">
        <f>MATCH(B2,Receipts!$A$1:$Q$1,0)</f>
        <v>6</v>
      </c>
      <c r="E2" s="8"/>
      <c r="F2" s="8"/>
      <c r="G2" s="8" t="str">
        <f t="shared" ref="G2:G20" si="1">ADDRESS(1,D2)</f>
        <v>$F$1</v>
      </c>
      <c r="H2" s="8" t="str">
        <f t="shared" ref="H2:H20" ca="1" si="2">INDIRECT("Receipts!"&amp;G2)</f>
        <v>Receipt No</v>
      </c>
    </row>
    <row r="3" spans="1:8" x14ac:dyDescent="0.25">
      <c r="A3" s="8" t="s">
        <v>48</v>
      </c>
      <c r="B3" s="38" t="s">
        <v>14</v>
      </c>
      <c r="C3" s="8" t="str">
        <f t="shared" si="0"/>
        <v>E</v>
      </c>
      <c r="D3" s="8">
        <f>MATCH(B3,Receipts!$A$1:$Q$1,0)</f>
        <v>5</v>
      </c>
      <c r="E3" s="8"/>
      <c r="F3" s="8"/>
      <c r="G3" s="8" t="str">
        <f t="shared" si="1"/>
        <v>$E$1</v>
      </c>
      <c r="H3" s="8" t="str">
        <f t="shared" ca="1" si="2"/>
        <v>Date</v>
      </c>
    </row>
    <row r="4" spans="1:8" x14ac:dyDescent="0.25">
      <c r="A4" s="8" t="s">
        <v>38</v>
      </c>
      <c r="B4" s="38" t="s">
        <v>2</v>
      </c>
      <c r="C4" s="8" t="str">
        <f t="shared" si="0"/>
        <v>C</v>
      </c>
      <c r="D4" s="8">
        <f>MATCH(B4,Receipts!$A$1:$Q$1,0)</f>
        <v>3</v>
      </c>
      <c r="E4" s="8"/>
      <c r="F4" s="8"/>
      <c r="G4" s="8" t="str">
        <f t="shared" si="1"/>
        <v>$C$1</v>
      </c>
      <c r="H4" s="8" t="str">
        <f t="shared" ca="1" si="2"/>
        <v>Name</v>
      </c>
    </row>
    <row r="5" spans="1:8" x14ac:dyDescent="0.25">
      <c r="A5" s="8" t="s">
        <v>21</v>
      </c>
      <c r="B5" s="38" t="s">
        <v>7</v>
      </c>
      <c r="C5" s="8" t="str">
        <f t="shared" si="0"/>
        <v>D</v>
      </c>
      <c r="D5" s="8">
        <f>MATCH(B5,Receipts!$A$1:$Q$1,0)</f>
        <v>4</v>
      </c>
      <c r="E5" s="8"/>
      <c r="F5" s="8"/>
      <c r="G5" s="8" t="str">
        <f t="shared" si="1"/>
        <v>$D$1</v>
      </c>
      <c r="H5" s="8" t="str">
        <f t="shared" ca="1" si="2"/>
        <v>Amount</v>
      </c>
    </row>
    <row r="6" spans="1:8" x14ac:dyDescent="0.25">
      <c r="A6" s="8" t="s">
        <v>17</v>
      </c>
      <c r="B6" s="38" t="s">
        <v>3</v>
      </c>
      <c r="C6" s="8" t="str">
        <f t="shared" si="0"/>
        <v>H</v>
      </c>
      <c r="D6" s="8">
        <f>MATCH(B6,Receipts!$A$1:$Q$1,0)</f>
        <v>8</v>
      </c>
      <c r="E6" s="8"/>
      <c r="F6" s="8"/>
      <c r="G6" s="8" t="str">
        <f t="shared" si="1"/>
        <v>$H$1</v>
      </c>
      <c r="H6" s="8" t="str">
        <f t="shared" ca="1" si="2"/>
        <v>Type</v>
      </c>
    </row>
    <row r="7" spans="1:8" x14ac:dyDescent="0.25">
      <c r="A7" s="8" t="s">
        <v>22</v>
      </c>
      <c r="B7" s="38" t="s">
        <v>9</v>
      </c>
      <c r="C7" s="8" t="str">
        <f t="shared" si="0"/>
        <v>M</v>
      </c>
      <c r="D7" s="8">
        <f>MATCH(B7,Receipts!$A$1:$Q$1,0)</f>
        <v>13</v>
      </c>
      <c r="E7" s="8"/>
      <c r="F7" s="8"/>
      <c r="G7" s="8" t="str">
        <f t="shared" si="1"/>
        <v>$M$1</v>
      </c>
      <c r="H7" s="8" t="str">
        <f t="shared" ca="1" si="2"/>
        <v>Remarks</v>
      </c>
    </row>
    <row r="8" spans="1:8" x14ac:dyDescent="0.25">
      <c r="A8" s="8" t="s">
        <v>23</v>
      </c>
      <c r="B8" s="38" t="s">
        <v>4</v>
      </c>
      <c r="C8" s="8" t="str">
        <f t="shared" si="0"/>
        <v>I</v>
      </c>
      <c r="D8" s="8">
        <f>MATCH(B8,Receipts!$A$1:$Q$1,0)</f>
        <v>9</v>
      </c>
      <c r="E8" s="8"/>
      <c r="F8" s="8"/>
      <c r="G8" s="8" t="str">
        <f t="shared" si="1"/>
        <v>$I$1</v>
      </c>
      <c r="H8" s="8" t="str">
        <f t="shared" ca="1" si="2"/>
        <v>Bank</v>
      </c>
    </row>
    <row r="9" spans="1:8" x14ac:dyDescent="0.25">
      <c r="A9" s="8" t="s">
        <v>24</v>
      </c>
      <c r="B9" s="38" t="s">
        <v>5</v>
      </c>
      <c r="C9" s="8" t="str">
        <f t="shared" si="0"/>
        <v>J</v>
      </c>
      <c r="D9" s="8">
        <f>MATCH(B9,Receipts!$A$1:$Q$1,0)</f>
        <v>10</v>
      </c>
      <c r="E9" s="8"/>
      <c r="F9" s="8"/>
      <c r="G9" s="8" t="str">
        <f t="shared" si="1"/>
        <v>$J$1</v>
      </c>
      <c r="H9" s="8" t="str">
        <f t="shared" ca="1" si="2"/>
        <v>Check No</v>
      </c>
    </row>
    <row r="10" spans="1:8" x14ac:dyDescent="0.25">
      <c r="A10" s="8" t="s">
        <v>43</v>
      </c>
      <c r="B10" s="38" t="s">
        <v>26</v>
      </c>
      <c r="C10" s="8" t="str">
        <f t="shared" si="0"/>
        <v>K</v>
      </c>
      <c r="D10" s="8">
        <f>MATCH(B10,Receipts!$A$1:$Q$1,0)</f>
        <v>11</v>
      </c>
      <c r="E10" s="8"/>
      <c r="F10" s="8"/>
      <c r="G10" s="8" t="str">
        <f t="shared" si="1"/>
        <v>$K$1</v>
      </c>
      <c r="H10" s="8" t="str">
        <f t="shared" ca="1" si="2"/>
        <v>Dated</v>
      </c>
    </row>
    <row r="11" spans="1:8" x14ac:dyDescent="0.25">
      <c r="A11" s="8" t="s">
        <v>25</v>
      </c>
      <c r="B11" s="38" t="s">
        <v>6</v>
      </c>
      <c r="C11" s="8" t="str">
        <f t="shared" si="0"/>
        <v>L</v>
      </c>
      <c r="D11" s="8">
        <f>MATCH(B11,Receipts!$A$1:$Q$1,0)</f>
        <v>12</v>
      </c>
      <c r="E11" s="8"/>
      <c r="F11" s="8"/>
      <c r="G11" s="8" t="str">
        <f t="shared" si="1"/>
        <v>$L$1</v>
      </c>
      <c r="H11" s="8" t="str">
        <f t="shared" ca="1" si="2"/>
        <v>Name on Check</v>
      </c>
    </row>
    <row r="12" spans="1:8" x14ac:dyDescent="0.25">
      <c r="A12" s="8" t="s">
        <v>47</v>
      </c>
      <c r="B12" s="38" t="s">
        <v>27</v>
      </c>
      <c r="C12" s="8" t="str">
        <f t="shared" si="0"/>
        <v>G</v>
      </c>
      <c r="D12" s="8">
        <f>MATCH(B12,Receipts!$A$1:$Q$1,0)</f>
        <v>7</v>
      </c>
      <c r="E12" s="8"/>
      <c r="F12" s="8"/>
      <c r="G12" s="8" t="str">
        <f t="shared" si="1"/>
        <v>$G$1</v>
      </c>
      <c r="H12" s="8" t="str">
        <f t="shared" ca="1" si="2"/>
        <v>Account</v>
      </c>
    </row>
    <row r="13" spans="1:8" x14ac:dyDescent="0.25">
      <c r="A13" s="8" t="s">
        <v>49</v>
      </c>
      <c r="B13" s="38" t="s">
        <v>30</v>
      </c>
      <c r="C13" s="8" t="str">
        <f t="shared" si="0"/>
        <v>N</v>
      </c>
      <c r="D13" s="8">
        <f>MATCH(B13,Receipts!$A$1:$Q$1,0)</f>
        <v>14</v>
      </c>
      <c r="E13" s="8"/>
      <c r="F13" s="8"/>
      <c r="G13" s="8" t="str">
        <f t="shared" si="1"/>
        <v>$N$1</v>
      </c>
      <c r="H13" s="8" t="str">
        <f t="shared" ca="1" si="2"/>
        <v>Entry Status</v>
      </c>
    </row>
    <row r="14" spans="1:8" x14ac:dyDescent="0.25">
      <c r="A14" s="8" t="s">
        <v>44</v>
      </c>
      <c r="B14" s="8"/>
      <c r="C14" s="8" t="e">
        <f t="shared" si="0"/>
        <v>#N/A</v>
      </c>
      <c r="D14" s="8" t="e">
        <f>MATCH(B14,Receipts!$A$1:$Q$1,0)</f>
        <v>#N/A</v>
      </c>
      <c r="E14" s="38" t="s">
        <v>50</v>
      </c>
      <c r="F14" s="8"/>
      <c r="G14" s="8" t="e">
        <f t="shared" si="1"/>
        <v>#N/A</v>
      </c>
      <c r="H14" s="8" t="e">
        <f t="shared" ca="1" si="2"/>
        <v>#N/A</v>
      </c>
    </row>
    <row r="15" spans="1:8" x14ac:dyDescent="0.25">
      <c r="A15" s="8" t="s">
        <v>45</v>
      </c>
      <c r="B15" s="8"/>
      <c r="C15" s="8" t="e">
        <f t="shared" si="0"/>
        <v>#N/A</v>
      </c>
      <c r="D15" s="8" t="e">
        <f>MATCH(B15,Receipts!$A$1:$Q$1,0)</f>
        <v>#N/A</v>
      </c>
      <c r="E15" s="38" t="s">
        <v>51</v>
      </c>
      <c r="F15" s="8"/>
      <c r="G15" s="8" t="e">
        <f t="shared" si="1"/>
        <v>#N/A</v>
      </c>
      <c r="H15" s="8" t="e">
        <f t="shared" ca="1" si="2"/>
        <v>#N/A</v>
      </c>
    </row>
    <row r="16" spans="1:8" x14ac:dyDescent="0.25">
      <c r="A16" s="8" t="s">
        <v>34</v>
      </c>
      <c r="B16" s="8"/>
      <c r="C16" s="8" t="e">
        <f t="shared" si="0"/>
        <v>#N/A</v>
      </c>
      <c r="D16" s="8" t="e">
        <f>MATCH(B16,Receipts!$A$1:$Q$1,0)</f>
        <v>#N/A</v>
      </c>
      <c r="E16" s="38" t="s">
        <v>57</v>
      </c>
      <c r="F16" s="8"/>
      <c r="G16" s="8" t="e">
        <f t="shared" si="1"/>
        <v>#N/A</v>
      </c>
      <c r="H16" s="8" t="e">
        <f t="shared" ca="1" si="2"/>
        <v>#N/A</v>
      </c>
    </row>
    <row r="17" spans="1:8" x14ac:dyDescent="0.25">
      <c r="A17" s="8" t="s">
        <v>46</v>
      </c>
      <c r="B17" s="8"/>
      <c r="C17" s="8" t="e">
        <f t="shared" si="0"/>
        <v>#N/A</v>
      </c>
      <c r="D17" s="8" t="e">
        <f>MATCH(B17,Receipts!$A$1:$Q$1,0)</f>
        <v>#N/A</v>
      </c>
      <c r="E17" s="38" t="s">
        <v>52</v>
      </c>
      <c r="F17" s="8"/>
      <c r="G17" s="8" t="e">
        <f t="shared" si="1"/>
        <v>#N/A</v>
      </c>
      <c r="H17" s="8" t="e">
        <f t="shared" ca="1" si="2"/>
        <v>#N/A</v>
      </c>
    </row>
    <row r="18" spans="1:8" x14ac:dyDescent="0.25">
      <c r="A18" s="8" t="s">
        <v>18</v>
      </c>
      <c r="B18" s="8"/>
      <c r="C18" s="8" t="e">
        <f t="shared" si="0"/>
        <v>#N/A</v>
      </c>
      <c r="D18" s="8" t="e">
        <f>MATCH(B18,Receipts!$A$1:$Q$1,0)</f>
        <v>#N/A</v>
      </c>
      <c r="E18" s="38" t="s">
        <v>58</v>
      </c>
      <c r="F18" s="8"/>
      <c r="G18" s="8" t="e">
        <f t="shared" si="1"/>
        <v>#N/A</v>
      </c>
      <c r="H18" s="8" t="e">
        <f t="shared" ca="1" si="2"/>
        <v>#N/A</v>
      </c>
    </row>
    <row r="19" spans="1:8" x14ac:dyDescent="0.25">
      <c r="A19" s="8" t="s">
        <v>19</v>
      </c>
      <c r="B19" s="8"/>
      <c r="C19" s="8" t="e">
        <f t="shared" si="0"/>
        <v>#N/A</v>
      </c>
      <c r="D19" s="8" t="e">
        <f>MATCH(B19,Receipts!$A$1:$Q$1,0)</f>
        <v>#N/A</v>
      </c>
      <c r="E19" s="38" t="s">
        <v>59</v>
      </c>
      <c r="F19" s="8"/>
      <c r="G19" s="8" t="e">
        <f t="shared" si="1"/>
        <v>#N/A</v>
      </c>
      <c r="H19" s="8" t="e">
        <f t="shared" ca="1" si="2"/>
        <v>#N/A</v>
      </c>
    </row>
    <row r="20" spans="1:8" x14ac:dyDescent="0.25">
      <c r="A20" s="8" t="s">
        <v>20</v>
      </c>
      <c r="B20" s="8"/>
      <c r="C20" s="8" t="e">
        <f t="shared" si="0"/>
        <v>#N/A</v>
      </c>
      <c r="D20" s="8" t="e">
        <f>MATCH(B20,Receipts!$A$1:$Q$1,0)</f>
        <v>#N/A</v>
      </c>
      <c r="E20" s="38" t="s">
        <v>60</v>
      </c>
      <c r="F20" s="8"/>
      <c r="G20" s="8" t="e">
        <f t="shared" si="1"/>
        <v>#N/A</v>
      </c>
      <c r="H20" s="8" t="e">
        <f t="shared" ca="1" si="2"/>
        <v>#N/A</v>
      </c>
    </row>
    <row r="21" spans="1:8" x14ac:dyDescent="0.25">
      <c r="A21" s="9" t="s">
        <v>54</v>
      </c>
      <c r="B21" s="8"/>
      <c r="C21" s="8"/>
      <c r="D21" s="8"/>
      <c r="E21" s="38" t="s">
        <v>55</v>
      </c>
      <c r="F21" s="8"/>
      <c r="G21" s="8"/>
      <c r="H21" s="8"/>
    </row>
    <row r="22" spans="1:8" x14ac:dyDescent="0.25">
      <c r="A22" s="9" t="s">
        <v>62</v>
      </c>
      <c r="B22" s="8"/>
      <c r="C22" s="8"/>
      <c r="D22" s="8"/>
      <c r="E22" s="38" t="s">
        <v>88</v>
      </c>
      <c r="F22" s="4" t="s">
        <v>58</v>
      </c>
      <c r="G22" s="8"/>
      <c r="H22" s="8"/>
    </row>
    <row r="23" spans="1:8" x14ac:dyDescent="0.25">
      <c r="A23" s="9" t="s">
        <v>63</v>
      </c>
      <c r="B23" s="8"/>
      <c r="C23" s="8"/>
      <c r="D23" s="8"/>
      <c r="E23" s="38" t="s">
        <v>86</v>
      </c>
      <c r="F23" s="4" t="s">
        <v>59</v>
      </c>
      <c r="G23" s="8"/>
      <c r="H23" s="8"/>
    </row>
    <row r="24" spans="1:8" x14ac:dyDescent="0.25">
      <c r="A24" s="9" t="s">
        <v>64</v>
      </c>
      <c r="B24" s="8"/>
      <c r="C24" s="8"/>
      <c r="D24" s="8"/>
      <c r="E24" s="38"/>
      <c r="F24" s="4" t="s">
        <v>58</v>
      </c>
      <c r="G24" s="8"/>
      <c r="H24" s="8"/>
    </row>
    <row r="25" spans="1:8" x14ac:dyDescent="0.25">
      <c r="A25" s="9" t="s">
        <v>65</v>
      </c>
      <c r="B25" s="8"/>
      <c r="C25" s="8"/>
      <c r="D25" s="8"/>
      <c r="E25" s="38"/>
      <c r="F25" s="4"/>
      <c r="G25" s="8"/>
      <c r="H25" s="8"/>
    </row>
    <row r="31" spans="1:8" x14ac:dyDescent="0.25">
      <c r="A31" s="7" t="s">
        <v>69</v>
      </c>
    </row>
    <row r="32" spans="1:8" x14ac:dyDescent="0.25">
      <c r="A32" s="7" t="s">
        <v>70</v>
      </c>
    </row>
    <row r="33" spans="1:1" x14ac:dyDescent="0.25">
      <c r="A33" s="7" t="s">
        <v>66</v>
      </c>
    </row>
    <row r="34" spans="1:1" x14ac:dyDescent="0.25">
      <c r="A34" s="7" t="s">
        <v>98</v>
      </c>
    </row>
    <row r="35" spans="1:1" x14ac:dyDescent="0.25">
      <c r="A35" s="7" t="s">
        <v>67</v>
      </c>
    </row>
    <row r="36" spans="1:1" x14ac:dyDescent="0.25">
      <c r="A36" s="49" t="s">
        <v>112</v>
      </c>
    </row>
    <row r="37" spans="1:1" x14ac:dyDescent="0.25">
      <c r="A37" s="10" t="s">
        <v>99</v>
      </c>
    </row>
  </sheetData>
  <sheetProtection algorithmName="SHA-512" hashValue="ETFs7ytba935YBnSIGzq89prUrzfJ8xr3b7T4eanOsr/etABCFhAFIi1ofk2NG3qHCdr9KBe9wc0ycu8AXllug==" saltValue="jsyIm8XvWUjnMn2zsGkTUA==" spinCount="100000" sheet="1" objects="1" scenarios="1"/>
  <dataValidations count="1">
    <dataValidation type="list" allowBlank="1" showInputMessage="1" showErrorMessage="1" sqref="F22:F25">
      <formula1>$E$18:$E$20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Summary</vt:lpstr>
      <vt:lpstr>Receipts</vt:lpstr>
      <vt:lpstr>List of Members</vt:lpstr>
      <vt:lpstr>Configurations</vt:lpstr>
      <vt:lpstr>Receipts!Print_Area</vt:lpstr>
      <vt:lpstr>Receipts!Print_Titles</vt:lpstr>
    </vt:vector>
  </TitlesOfParts>
  <Company>AtoS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Oommen</dc:creator>
  <cp:lastModifiedBy>Jacob Oommen</cp:lastModifiedBy>
  <cp:lastPrinted>2013-02-15T13:33:22Z</cp:lastPrinted>
  <dcterms:created xsi:type="dcterms:W3CDTF">2012-11-10T03:51:22Z</dcterms:created>
  <dcterms:modified xsi:type="dcterms:W3CDTF">2017-02-07T18:52:07Z</dcterms:modified>
</cp:coreProperties>
</file>