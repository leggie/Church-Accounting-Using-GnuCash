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hidePivotFieldList="1" defaultThemeVersion="124226"/>
  <mc:AlternateContent xmlns:mc="http://schemas.openxmlformats.org/markup-compatibility/2006">
    <mc:Choice Requires="x15">
      <x15ac:absPath xmlns:x15ac="http://schemas.microsoft.com/office/spreadsheetml/2010/11/ac" url="D:\Users\Leggie\Dropbox\Public\FilesforBlogs\Church Accounting Using GnuCash - 14 - Import Transactions from Excel into GnuCash through QIF\"/>
    </mc:Choice>
  </mc:AlternateContent>
  <bookViews>
    <workbookView xWindow="480" yWindow="120" windowWidth="19320" windowHeight="11760" activeTab="3"/>
  </bookViews>
  <sheets>
    <sheet name="Summary" sheetId="4" r:id="rId1"/>
    <sheet name="Receipts" sheetId="1" r:id="rId2"/>
    <sheet name="Member Details (HOF Only)" sheetId="9" r:id="rId3"/>
    <sheet name="Configurations" sheetId="3" r:id="rId4"/>
    <sheet name="Auction Summary" sheetId="11" r:id="rId5"/>
    <sheet name="Auction Data" sheetId="10" r:id="rId6"/>
  </sheets>
  <definedNames>
    <definedName name="_xlnm._FilterDatabase" localSheetId="5" hidden="1">'Auction Data'!$B$1:$O$251</definedName>
    <definedName name="_xlnm._FilterDatabase" localSheetId="2" hidden="1">'Member Details (HOF Only)'!#REF!</definedName>
    <definedName name="_xlnm._FilterDatabase" localSheetId="1" hidden="1">Receipts!$A$1:$T$600</definedName>
    <definedName name="GenDetails" localSheetId="2">#REF!</definedName>
    <definedName name="GenDetails">#REF!</definedName>
    <definedName name="GenDetails2" localSheetId="2">#REF!</definedName>
    <definedName name="GenDetails2">#REF!</definedName>
    <definedName name="GenDetails3" localSheetId="2">#REF!</definedName>
    <definedName name="GenDetails3">#REF!</definedName>
    <definedName name="GenDetails4" localSheetId="2">#REF!</definedName>
    <definedName name="GenDetails4">#REF!</definedName>
    <definedName name="GeneralDetails" localSheetId="2">#REF!</definedName>
    <definedName name="GeneralDetails">#REF!</definedName>
    <definedName name="GeneralDetailsHOF" localSheetId="2">#REF!</definedName>
    <definedName name="GeneralDetailsHOF">#REF!</definedName>
    <definedName name="HOFGeneralDetails" localSheetId="2">#REF!</definedName>
    <definedName name="HOFGeneralDetails">#REF!</definedName>
    <definedName name="MemberDetails" localSheetId="2">#REF!</definedName>
    <definedName name="MemberDetails">#REF!</definedName>
    <definedName name="_xlnm.Print_Area" localSheetId="1">Receipts!$A$1:$K$572</definedName>
    <definedName name="_xlnm.Print_Titles" localSheetId="1">Receipts!$1:$1</definedName>
  </definedNames>
  <calcPr calcId="162913"/>
  <pivotCaches>
    <pivotCache cacheId="0" r:id="rId7"/>
    <pivotCache cacheId="1" r:id="rId8"/>
  </pivotCaches>
</workbook>
</file>

<file path=xl/calcChain.xml><?xml version="1.0" encoding="utf-8"?>
<calcChain xmlns="http://schemas.openxmlformats.org/spreadsheetml/2006/main">
  <c r="Q2" i="1" l="1"/>
  <c r="Q222" i="1"/>
  <c r="Q587" i="1"/>
  <c r="Q580" i="1"/>
  <c r="S579" i="1"/>
  <c r="S9" i="1"/>
  <c r="S73" i="1"/>
  <c r="S137" i="1"/>
  <c r="S44" i="1"/>
  <c r="S156" i="1"/>
  <c r="S238" i="1"/>
  <c r="S304" i="1"/>
  <c r="S366" i="1"/>
  <c r="S398" i="1"/>
  <c r="S10" i="1"/>
  <c r="S74" i="1"/>
  <c r="S138" i="1"/>
  <c r="S195" i="1"/>
  <c r="S287" i="1"/>
  <c r="S351" i="1"/>
  <c r="S415" i="1"/>
  <c r="S453" i="1"/>
  <c r="S473" i="1"/>
  <c r="S209" i="1"/>
  <c r="S265" i="1"/>
  <c r="S297" i="1"/>
  <c r="S329" i="1"/>
  <c r="S361" i="1"/>
  <c r="S393" i="1"/>
  <c r="S425" i="1"/>
  <c r="S442" i="1"/>
  <c r="S458" i="1"/>
  <c r="S474" i="1"/>
  <c r="S490" i="1"/>
  <c r="S506" i="1"/>
  <c r="S532" i="1"/>
  <c r="S554" i="1"/>
  <c r="S572" i="1"/>
  <c r="S487" i="1"/>
  <c r="S503" i="1"/>
  <c r="S523" i="1"/>
  <c r="S539" i="1"/>
  <c r="S557" i="1"/>
  <c r="S573" i="1"/>
  <c r="O11" i="10"/>
  <c r="N8" i="10"/>
  <c r="O4" i="10"/>
  <c r="O6" i="10"/>
  <c r="O9" i="10"/>
  <c r="O12" i="10"/>
  <c r="O14" i="10"/>
  <c r="O16" i="10"/>
  <c r="O18" i="10"/>
  <c r="O20" i="10"/>
  <c r="O23" i="10"/>
  <c r="O25" i="10"/>
  <c r="O27" i="10"/>
  <c r="O29" i="10"/>
  <c r="O31" i="10"/>
  <c r="O33" i="10"/>
  <c r="O35" i="10"/>
  <c r="O37" i="10"/>
  <c r="O39" i="10"/>
  <c r="O41" i="10"/>
  <c r="O43" i="10"/>
  <c r="O45" i="10"/>
  <c r="O47" i="10"/>
  <c r="O49" i="10"/>
  <c r="O51" i="10"/>
  <c r="O53" i="10"/>
  <c r="O55" i="10"/>
  <c r="O57" i="10"/>
  <c r="O59" i="10"/>
  <c r="O61" i="10"/>
  <c r="O63" i="10"/>
  <c r="O65" i="10"/>
  <c r="O67" i="10"/>
  <c r="O69" i="10"/>
  <c r="O71" i="10"/>
  <c r="O73" i="10"/>
  <c r="O75" i="10"/>
  <c r="O77" i="10"/>
  <c r="O79" i="10"/>
  <c r="O81" i="10"/>
  <c r="O83" i="10"/>
  <c r="O85" i="10"/>
  <c r="O87" i="10"/>
  <c r="O89" i="10"/>
  <c r="O91" i="10"/>
  <c r="O93" i="10"/>
  <c r="O95" i="10"/>
  <c r="O97" i="10"/>
  <c r="O99" i="10"/>
  <c r="O101" i="10"/>
  <c r="O103" i="10"/>
  <c r="O105" i="10"/>
  <c r="O107" i="10"/>
  <c r="O109" i="10"/>
  <c r="O111" i="10"/>
  <c r="O113" i="10"/>
  <c r="O115" i="10"/>
  <c r="O117" i="10"/>
  <c r="O119" i="10"/>
  <c r="O121" i="10"/>
  <c r="O123" i="10"/>
  <c r="O125" i="10"/>
  <c r="O127" i="10"/>
  <c r="O129" i="10"/>
  <c r="O131" i="10"/>
  <c r="O133" i="10"/>
  <c r="O135" i="10"/>
  <c r="O137" i="10"/>
  <c r="O139" i="10"/>
  <c r="O141" i="10"/>
  <c r="O143" i="10"/>
  <c r="O145" i="10"/>
  <c r="O147" i="10"/>
  <c r="O149" i="10"/>
  <c r="O151" i="10"/>
  <c r="O153" i="10"/>
  <c r="O155" i="10"/>
  <c r="O157" i="10"/>
  <c r="O159" i="10"/>
  <c r="O161" i="10"/>
  <c r="O163" i="10"/>
  <c r="O165" i="10"/>
  <c r="O167" i="10"/>
  <c r="O3" i="10"/>
  <c r="O7" i="10"/>
  <c r="O10" i="10"/>
  <c r="O15" i="10"/>
  <c r="O19" i="10"/>
  <c r="O22" i="10"/>
  <c r="O26" i="10"/>
  <c r="O30" i="10"/>
  <c r="O34" i="10"/>
  <c r="O38" i="10"/>
  <c r="O42" i="10"/>
  <c r="O46" i="10"/>
  <c r="O50" i="10"/>
  <c r="O54" i="10"/>
  <c r="O58" i="10"/>
  <c r="O62" i="10"/>
  <c r="O66" i="10"/>
  <c r="O70" i="10"/>
  <c r="O74" i="10"/>
  <c r="O78" i="10"/>
  <c r="O82" i="10"/>
  <c r="O86" i="10"/>
  <c r="O90" i="10"/>
  <c r="O94" i="10"/>
  <c r="O98" i="10"/>
  <c r="O102" i="10"/>
  <c r="O106" i="10"/>
  <c r="O110" i="10"/>
  <c r="O114" i="10"/>
  <c r="O118" i="10"/>
  <c r="O122" i="10"/>
  <c r="O126" i="10"/>
  <c r="O130" i="10"/>
  <c r="O134" i="10"/>
  <c r="O138" i="10"/>
  <c r="O142" i="10"/>
  <c r="O146" i="10"/>
  <c r="O150" i="10"/>
  <c r="O154" i="10"/>
  <c r="O158" i="10"/>
  <c r="O162" i="10"/>
  <c r="O166" i="10"/>
  <c r="O169" i="10"/>
  <c r="O171" i="10"/>
  <c r="O173" i="10"/>
  <c r="O175" i="10"/>
  <c r="O177" i="10"/>
  <c r="O179" i="10"/>
  <c r="O181" i="10"/>
  <c r="O183" i="10"/>
  <c r="O185" i="10"/>
  <c r="O187" i="10"/>
  <c r="O189" i="10"/>
  <c r="O191" i="10"/>
  <c r="O193" i="10"/>
  <c r="O195" i="10"/>
  <c r="O197" i="10"/>
  <c r="O199" i="10"/>
  <c r="O201" i="10"/>
  <c r="O202" i="10"/>
  <c r="O204" i="10"/>
  <c r="O206" i="10"/>
  <c r="O208" i="10"/>
  <c r="O210" i="10"/>
  <c r="O212" i="10"/>
  <c r="O214" i="10"/>
  <c r="O216" i="10"/>
  <c r="O218" i="10"/>
  <c r="O220" i="10"/>
  <c r="O222" i="10"/>
  <c r="O224" i="10"/>
  <c r="O226" i="10"/>
  <c r="O228" i="10"/>
  <c r="O230" i="10"/>
  <c r="O232" i="10"/>
  <c r="O234" i="10"/>
  <c r="O236" i="10"/>
  <c r="O238" i="10"/>
  <c r="O240" i="10"/>
  <c r="O242" i="10"/>
  <c r="O244" i="10"/>
  <c r="O246" i="10"/>
  <c r="O248" i="10"/>
  <c r="O250" i="10"/>
  <c r="N3" i="10"/>
  <c r="N11" i="10"/>
  <c r="O8" i="10"/>
  <c r="O17" i="10"/>
  <c r="O24" i="10"/>
  <c r="O32" i="10"/>
  <c r="O40" i="10"/>
  <c r="O48" i="10"/>
  <c r="O56" i="10"/>
  <c r="O64" i="10"/>
  <c r="O72" i="10"/>
  <c r="O80" i="10"/>
  <c r="O88" i="10"/>
  <c r="O96" i="10"/>
  <c r="O104" i="10"/>
  <c r="O112" i="10"/>
  <c r="O120" i="10"/>
  <c r="O128" i="10"/>
  <c r="O136" i="10"/>
  <c r="O144" i="10"/>
  <c r="O152" i="10"/>
  <c r="O160" i="10"/>
  <c r="O168" i="10"/>
  <c r="O172" i="10"/>
  <c r="O176" i="10"/>
  <c r="O180" i="10"/>
  <c r="O184" i="10"/>
  <c r="O188" i="10"/>
  <c r="O192" i="10"/>
  <c r="O196" i="10"/>
  <c r="O200" i="10"/>
  <c r="O203" i="10"/>
  <c r="O207" i="10"/>
  <c r="O211" i="10"/>
  <c r="O215" i="10"/>
  <c r="O219" i="10"/>
  <c r="O223" i="10"/>
  <c r="O227" i="10"/>
  <c r="O231" i="10"/>
  <c r="O235" i="10"/>
  <c r="O239" i="10"/>
  <c r="O243" i="10"/>
  <c r="O247" i="10"/>
  <c r="O251" i="10"/>
  <c r="N5" i="10"/>
  <c r="N7" i="10"/>
  <c r="N9" i="10"/>
  <c r="N12" i="10"/>
  <c r="N14" i="10"/>
  <c r="N16" i="10"/>
  <c r="N18" i="10"/>
  <c r="N20" i="10"/>
  <c r="N23" i="10"/>
  <c r="N25" i="10"/>
  <c r="N27" i="10"/>
  <c r="N29" i="10"/>
  <c r="N31" i="10"/>
  <c r="N33" i="10"/>
  <c r="N35" i="10"/>
  <c r="N37" i="10"/>
  <c r="N39" i="10"/>
  <c r="N41" i="10"/>
  <c r="N43" i="10"/>
  <c r="N45" i="10"/>
  <c r="N47" i="10"/>
  <c r="N49" i="10"/>
  <c r="N51" i="10"/>
  <c r="N53" i="10"/>
  <c r="N55" i="10"/>
  <c r="N57" i="10"/>
  <c r="N59" i="10"/>
  <c r="N61" i="10"/>
  <c r="N63" i="10"/>
  <c r="N65" i="10"/>
  <c r="N67" i="10"/>
  <c r="N69" i="10"/>
  <c r="N71" i="10"/>
  <c r="N73" i="10"/>
  <c r="N75" i="10"/>
  <c r="N77" i="10"/>
  <c r="N79" i="10"/>
  <c r="N81" i="10"/>
  <c r="N83" i="10"/>
  <c r="N85" i="10"/>
  <c r="N87" i="10"/>
  <c r="N89" i="10"/>
  <c r="N91" i="10"/>
  <c r="N93" i="10"/>
  <c r="N95" i="10"/>
  <c r="N97" i="10"/>
  <c r="N99" i="10"/>
  <c r="N101" i="10"/>
  <c r="N103" i="10"/>
  <c r="N105" i="10"/>
  <c r="N107" i="10"/>
  <c r="N109" i="10"/>
  <c r="N111" i="10"/>
  <c r="N113" i="10"/>
  <c r="N115" i="10"/>
  <c r="N117" i="10"/>
  <c r="N119" i="10"/>
  <c r="N121" i="10"/>
  <c r="N123" i="10"/>
  <c r="N125" i="10"/>
  <c r="N127" i="10"/>
  <c r="N129" i="10"/>
  <c r="N131" i="10"/>
  <c r="N133" i="10"/>
  <c r="N135" i="10"/>
  <c r="N137" i="10"/>
  <c r="N139" i="10"/>
  <c r="N141" i="10"/>
  <c r="N143" i="10"/>
  <c r="N145" i="10"/>
  <c r="N147" i="10"/>
  <c r="N149" i="10"/>
  <c r="N151" i="10"/>
  <c r="N153" i="10"/>
  <c r="N155" i="10"/>
  <c r="N157" i="10"/>
  <c r="N159" i="10"/>
  <c r="N161" i="10"/>
  <c r="N163" i="10"/>
  <c r="N165" i="10"/>
  <c r="N167" i="10"/>
  <c r="N169" i="10"/>
  <c r="N171" i="10"/>
  <c r="N173" i="10"/>
  <c r="N175" i="10"/>
  <c r="N177" i="10"/>
  <c r="N179" i="10"/>
  <c r="N181" i="10"/>
  <c r="N183" i="10"/>
  <c r="N185" i="10"/>
  <c r="N187" i="10"/>
  <c r="N189" i="10"/>
  <c r="N191" i="10"/>
  <c r="N193" i="10"/>
  <c r="N195" i="10"/>
  <c r="N197" i="10"/>
  <c r="N199" i="10"/>
  <c r="N201" i="10"/>
  <c r="N202" i="10"/>
  <c r="N204" i="10"/>
  <c r="N206" i="10"/>
  <c r="N208" i="10"/>
  <c r="N210" i="10"/>
  <c r="N212" i="10"/>
  <c r="N214" i="10"/>
  <c r="N216" i="10"/>
  <c r="N218" i="10"/>
  <c r="N220" i="10"/>
  <c r="N222" i="10"/>
  <c r="N224" i="10"/>
  <c r="N226" i="10"/>
  <c r="N228" i="10"/>
  <c r="N230" i="10"/>
  <c r="N232" i="10"/>
  <c r="N234" i="10"/>
  <c r="N236" i="10"/>
  <c r="N238" i="10"/>
  <c r="N240" i="10"/>
  <c r="N242" i="10"/>
  <c r="N244" i="10"/>
  <c r="N246" i="10"/>
  <c r="N248" i="10"/>
  <c r="N250" i="10"/>
  <c r="O2" i="10"/>
  <c r="O5" i="10"/>
  <c r="O13" i="10"/>
  <c r="O28" i="10"/>
  <c r="O44" i="10"/>
  <c r="O60" i="10"/>
  <c r="O76" i="10"/>
  <c r="O92" i="10"/>
  <c r="O108" i="10"/>
  <c r="O124" i="10"/>
  <c r="O140" i="10"/>
  <c r="O156" i="10"/>
  <c r="O170" i="10"/>
  <c r="O178" i="10"/>
  <c r="O186" i="10"/>
  <c r="O194" i="10"/>
  <c r="O209" i="10"/>
  <c r="O217" i="10"/>
  <c r="O225" i="10"/>
  <c r="O233" i="10"/>
  <c r="O241" i="10"/>
  <c r="O249" i="10"/>
  <c r="N6" i="10"/>
  <c r="N10" i="10"/>
  <c r="N15" i="10"/>
  <c r="N19" i="10"/>
  <c r="N22" i="10"/>
  <c r="N26" i="10"/>
  <c r="N30" i="10"/>
  <c r="N34" i="10"/>
  <c r="N38" i="10"/>
  <c r="N42" i="10"/>
  <c r="N46" i="10"/>
  <c r="N50" i="10"/>
  <c r="N54" i="10"/>
  <c r="N58" i="10"/>
  <c r="N62" i="10"/>
  <c r="N66" i="10"/>
  <c r="N70" i="10"/>
  <c r="N74" i="10"/>
  <c r="N78" i="10"/>
  <c r="N82" i="10"/>
  <c r="N86" i="10"/>
  <c r="N90" i="10"/>
  <c r="N94" i="10"/>
  <c r="N98" i="10"/>
  <c r="N102" i="10"/>
  <c r="N106" i="10"/>
  <c r="N110" i="10"/>
  <c r="N114" i="10"/>
  <c r="N118" i="10"/>
  <c r="N122" i="10"/>
  <c r="N126" i="10"/>
  <c r="N130" i="10"/>
  <c r="N134" i="10"/>
  <c r="N138" i="10"/>
  <c r="N142" i="10"/>
  <c r="N146" i="10"/>
  <c r="N150" i="10"/>
  <c r="N154" i="10"/>
  <c r="N158" i="10"/>
  <c r="N162" i="10"/>
  <c r="N166" i="10"/>
  <c r="N170" i="10"/>
  <c r="N174" i="10"/>
  <c r="N178" i="10"/>
  <c r="N182" i="10"/>
  <c r="N186" i="10"/>
  <c r="N190" i="10"/>
  <c r="N194" i="10"/>
  <c r="N198" i="10"/>
  <c r="N205" i="10"/>
  <c r="N209" i="10"/>
  <c r="N213" i="10"/>
  <c r="N217" i="10"/>
  <c r="N221" i="10"/>
  <c r="N225" i="10"/>
  <c r="N229" i="10"/>
  <c r="N233" i="10"/>
  <c r="N237" i="10"/>
  <c r="N241" i="10"/>
  <c r="N245" i="10"/>
  <c r="N249" i="10"/>
  <c r="N2" i="10"/>
  <c r="O21" i="10"/>
  <c r="O36" i="10"/>
  <c r="O52" i="10"/>
  <c r="O68" i="10"/>
  <c r="O84" i="10"/>
  <c r="O100" i="10"/>
  <c r="O116" i="10"/>
  <c r="O132" i="10"/>
  <c r="O148" i="10"/>
  <c r="O164" i="10"/>
  <c r="O174" i="10"/>
  <c r="O182" i="10"/>
  <c r="O190" i="10"/>
  <c r="O198" i="10"/>
  <c r="O205" i="10"/>
  <c r="O213" i="10"/>
  <c r="O221" i="10"/>
  <c r="O229" i="10"/>
  <c r="O237" i="10"/>
  <c r="O245" i="10"/>
  <c r="N4" i="10"/>
  <c r="N13" i="10"/>
  <c r="N17" i="10"/>
  <c r="N21" i="10"/>
  <c r="N24" i="10"/>
  <c r="N28" i="10"/>
  <c r="N32" i="10"/>
  <c r="N36" i="10"/>
  <c r="N40" i="10"/>
  <c r="N44" i="10"/>
  <c r="N48" i="10"/>
  <c r="N52" i="10"/>
  <c r="N56" i="10"/>
  <c r="N60" i="10"/>
  <c r="N64" i="10"/>
  <c r="N68" i="10"/>
  <c r="N72" i="10"/>
  <c r="N76" i="10"/>
  <c r="N80" i="10"/>
  <c r="N84" i="10"/>
  <c r="N88" i="10"/>
  <c r="N92" i="10"/>
  <c r="N96" i="10"/>
  <c r="N100" i="10"/>
  <c r="N104" i="10"/>
  <c r="N108" i="10"/>
  <c r="N112" i="10"/>
  <c r="N116" i="10"/>
  <c r="N120" i="10"/>
  <c r="N124" i="10"/>
  <c r="N128" i="10"/>
  <c r="N132" i="10"/>
  <c r="N136" i="10"/>
  <c r="N140" i="10"/>
  <c r="N144" i="10"/>
  <c r="N148" i="10"/>
  <c r="N152" i="10"/>
  <c r="N156" i="10"/>
  <c r="N160" i="10"/>
  <c r="N164" i="10"/>
  <c r="N168" i="10"/>
  <c r="N172" i="10"/>
  <c r="N176" i="10"/>
  <c r="N180" i="10"/>
  <c r="N184" i="10"/>
  <c r="N188" i="10"/>
  <c r="N192" i="10"/>
  <c r="N196" i="10"/>
  <c r="N200" i="10"/>
  <c r="N203" i="10"/>
  <c r="N207" i="10"/>
  <c r="N211" i="10"/>
  <c r="N215" i="10"/>
  <c r="N219" i="10"/>
  <c r="N223" i="10"/>
  <c r="N227" i="10"/>
  <c r="N231" i="10"/>
  <c r="N235" i="10"/>
  <c r="N239" i="10"/>
  <c r="N243" i="10"/>
  <c r="N247" i="10"/>
  <c r="N251" i="10"/>
  <c r="Q3" i="1"/>
  <c r="Q5" i="1"/>
  <c r="Q7" i="1"/>
  <c r="Q9" i="1"/>
  <c r="Q11" i="1"/>
  <c r="Q13" i="1"/>
  <c r="Q15" i="1"/>
  <c r="Q17" i="1"/>
  <c r="Q19" i="1"/>
  <c r="Q21" i="1"/>
  <c r="Q23" i="1"/>
  <c r="Q25" i="1"/>
  <c r="Q27" i="1"/>
  <c r="Q29" i="1"/>
  <c r="Q31" i="1"/>
  <c r="Q33" i="1"/>
  <c r="Q35" i="1"/>
  <c r="Q37" i="1"/>
  <c r="Q39" i="1"/>
  <c r="Q41" i="1"/>
  <c r="Q43" i="1"/>
  <c r="Q45" i="1"/>
  <c r="Q47" i="1"/>
  <c r="Q49" i="1"/>
  <c r="Q51" i="1"/>
  <c r="Q53" i="1"/>
  <c r="Q55" i="1"/>
  <c r="Q57" i="1"/>
  <c r="Q59" i="1"/>
  <c r="Q61" i="1"/>
  <c r="Q63" i="1"/>
  <c r="Q65" i="1"/>
  <c r="Q67" i="1"/>
  <c r="Q69" i="1"/>
  <c r="Q71" i="1"/>
  <c r="Q73" i="1"/>
  <c r="Q75" i="1"/>
  <c r="Q77" i="1"/>
  <c r="Q79" i="1"/>
  <c r="Q81" i="1"/>
  <c r="Q83" i="1"/>
  <c r="Q85" i="1"/>
  <c r="Q87" i="1"/>
  <c r="Q89" i="1"/>
  <c r="Q91" i="1"/>
  <c r="Q93" i="1"/>
  <c r="Q95" i="1"/>
  <c r="Q97" i="1"/>
  <c r="Q99" i="1"/>
  <c r="Q101" i="1"/>
  <c r="Q103" i="1"/>
  <c r="Q105" i="1"/>
  <c r="Q107" i="1"/>
  <c r="Q109" i="1"/>
  <c r="Q111" i="1"/>
  <c r="Q113" i="1"/>
  <c r="Q115" i="1"/>
  <c r="Q117" i="1"/>
  <c r="Q119" i="1"/>
  <c r="Q121" i="1"/>
  <c r="Q123" i="1"/>
  <c r="Q125" i="1"/>
  <c r="Q127" i="1"/>
  <c r="Q129" i="1"/>
  <c r="Q131" i="1"/>
  <c r="Q133" i="1"/>
  <c r="Q135" i="1"/>
  <c r="Q137" i="1"/>
  <c r="Q139" i="1"/>
  <c r="Q141" i="1"/>
  <c r="Q143" i="1"/>
  <c r="Q145" i="1"/>
  <c r="Q147" i="1"/>
  <c r="Q149" i="1"/>
  <c r="Q151" i="1"/>
  <c r="Q153" i="1"/>
  <c r="Q155" i="1"/>
  <c r="Q157" i="1"/>
  <c r="Q159" i="1"/>
  <c r="Q161" i="1"/>
  <c r="Q163" i="1"/>
  <c r="Q165" i="1"/>
  <c r="Q167" i="1"/>
  <c r="Q169" i="1"/>
  <c r="Q171" i="1"/>
  <c r="Q4" i="1"/>
  <c r="Q6" i="1"/>
  <c r="Q8" i="1"/>
  <c r="Q10" i="1"/>
  <c r="Q12" i="1"/>
  <c r="Q14" i="1"/>
  <c r="Q16" i="1"/>
  <c r="Q18" i="1"/>
  <c r="Q20" i="1"/>
  <c r="Q22" i="1"/>
  <c r="Q24" i="1"/>
  <c r="Q26" i="1"/>
  <c r="Q28" i="1"/>
  <c r="Q30" i="1"/>
  <c r="Q32" i="1"/>
  <c r="Q34" i="1"/>
  <c r="Q36" i="1"/>
  <c r="Q38" i="1"/>
  <c r="Q40" i="1"/>
  <c r="Q42" i="1"/>
  <c r="Q44" i="1"/>
  <c r="Q46" i="1"/>
  <c r="Q48" i="1"/>
  <c r="Q50" i="1"/>
  <c r="Q52" i="1"/>
  <c r="Q54" i="1"/>
  <c r="Q56" i="1"/>
  <c r="Q58" i="1"/>
  <c r="Q60" i="1"/>
  <c r="Q62" i="1"/>
  <c r="Q64" i="1"/>
  <c r="Q66" i="1"/>
  <c r="Q68" i="1"/>
  <c r="Q70" i="1"/>
  <c r="Q72" i="1"/>
  <c r="Q74" i="1"/>
  <c r="Q76" i="1"/>
  <c r="Q78" i="1"/>
  <c r="Q80" i="1"/>
  <c r="Q82" i="1"/>
  <c r="Q84" i="1"/>
  <c r="Q86" i="1"/>
  <c r="Q88" i="1"/>
  <c r="Q90" i="1"/>
  <c r="Q92" i="1"/>
  <c r="Q94" i="1"/>
  <c r="Q96" i="1"/>
  <c r="Q98" i="1"/>
  <c r="Q100" i="1"/>
  <c r="Q102" i="1"/>
  <c r="Q104" i="1"/>
  <c r="Q106" i="1"/>
  <c r="Q108" i="1"/>
  <c r="Q110" i="1"/>
  <c r="Q112" i="1"/>
  <c r="Q114" i="1"/>
  <c r="Q116" i="1"/>
  <c r="Q118" i="1"/>
  <c r="Q120" i="1"/>
  <c r="Q122" i="1"/>
  <c r="Q124" i="1"/>
  <c r="Q126" i="1"/>
  <c r="Q128" i="1"/>
  <c r="Q130" i="1"/>
  <c r="Q132" i="1"/>
  <c r="Q134" i="1"/>
  <c r="Q136" i="1"/>
  <c r="Q138" i="1"/>
  <c r="Q140" i="1"/>
  <c r="Q142" i="1"/>
  <c r="Q144" i="1"/>
  <c r="Q146" i="1"/>
  <c r="Q148" i="1"/>
  <c r="Q150" i="1"/>
  <c r="Q154" i="1"/>
  <c r="Q158" i="1"/>
  <c r="Q162" i="1"/>
  <c r="Q166" i="1"/>
  <c r="Q170" i="1"/>
  <c r="Q173" i="1"/>
  <c r="Q175" i="1"/>
  <c r="Q177" i="1"/>
  <c r="Q179" i="1"/>
  <c r="Q181" i="1"/>
  <c r="Q183" i="1"/>
  <c r="Q185" i="1"/>
  <c r="Q187" i="1"/>
  <c r="Q189" i="1"/>
  <c r="Q191" i="1"/>
  <c r="Q194" i="1"/>
  <c r="Q196" i="1"/>
  <c r="Q198" i="1"/>
  <c r="Q192" i="1"/>
  <c r="Q201" i="1"/>
  <c r="Q203" i="1"/>
  <c r="Q205" i="1"/>
  <c r="Q207" i="1"/>
  <c r="Q209" i="1"/>
  <c r="Q211" i="1"/>
  <c r="Q215" i="1"/>
  <c r="Q217" i="1"/>
  <c r="Q226" i="1"/>
  <c r="Q228" i="1"/>
  <c r="Q239" i="1"/>
  <c r="Q241" i="1"/>
  <c r="Q247" i="1"/>
  <c r="Q249" i="1"/>
  <c r="Q251" i="1"/>
  <c r="Q253" i="1"/>
  <c r="Q257" i="1"/>
  <c r="Q261" i="1"/>
  <c r="Q263" i="1"/>
  <c r="Q265" i="1"/>
  <c r="Q267" i="1"/>
  <c r="Q269" i="1"/>
  <c r="Q271" i="1"/>
  <c r="Q273" i="1"/>
  <c r="Q275" i="1"/>
  <c r="Q277" i="1"/>
  <c r="Q279" i="1"/>
  <c r="Q281" i="1"/>
  <c r="Q283" i="1"/>
  <c r="Q285" i="1"/>
  <c r="Q287" i="1"/>
  <c r="Q289" i="1"/>
  <c r="Q291" i="1"/>
  <c r="Q293" i="1"/>
  <c r="Q295" i="1"/>
  <c r="Q297" i="1"/>
  <c r="Q299" i="1"/>
  <c r="Q301" i="1"/>
  <c r="Q303" i="1"/>
  <c r="Q305" i="1"/>
  <c r="Q307" i="1"/>
  <c r="Q309" i="1"/>
  <c r="Q311" i="1"/>
  <c r="Q313" i="1"/>
  <c r="Q315" i="1"/>
  <c r="Q317" i="1"/>
  <c r="Q319" i="1"/>
  <c r="Q321" i="1"/>
  <c r="Q323" i="1"/>
  <c r="Q325" i="1"/>
  <c r="Q327" i="1"/>
  <c r="Q329" i="1"/>
  <c r="Q152" i="1"/>
  <c r="Q156" i="1"/>
  <c r="Q160" i="1"/>
  <c r="Q164" i="1"/>
  <c r="Q168" i="1"/>
  <c r="Q172" i="1"/>
  <c r="Q174" i="1"/>
  <c r="Q176" i="1"/>
  <c r="Q178" i="1"/>
  <c r="Q180" i="1"/>
  <c r="Q182" i="1"/>
  <c r="Q184" i="1"/>
  <c r="Q186" i="1"/>
  <c r="Q188" i="1"/>
  <c r="Q190" i="1"/>
  <c r="Q193" i="1"/>
  <c r="Q195" i="1"/>
  <c r="Q197" i="1"/>
  <c r="Q199" i="1"/>
  <c r="Q200" i="1"/>
  <c r="Q202" i="1"/>
  <c r="Q204" i="1"/>
  <c r="Q206" i="1"/>
  <c r="Q210" i="1"/>
  <c r="Q212" i="1"/>
  <c r="Q219" i="1"/>
  <c r="Q229" i="1"/>
  <c r="Q230" i="1"/>
  <c r="Q232" i="1"/>
  <c r="Q238" i="1"/>
  <c r="Q240" i="1"/>
  <c r="Q242" i="1"/>
  <c r="Q248" i="1"/>
  <c r="Q256" i="1"/>
  <c r="Q258" i="1"/>
  <c r="Q260" i="1"/>
  <c r="Q262" i="1"/>
  <c r="Q264" i="1"/>
  <c r="Q266" i="1"/>
  <c r="Q268" i="1"/>
  <c r="Q270" i="1"/>
  <c r="Q272" i="1"/>
  <c r="Q274" i="1"/>
  <c r="Q276" i="1"/>
  <c r="Q278" i="1"/>
  <c r="Q280" i="1"/>
  <c r="Q282" i="1"/>
  <c r="Q284" i="1"/>
  <c r="Q286" i="1"/>
  <c r="Q288" i="1"/>
  <c r="Q290" i="1"/>
  <c r="Q292" i="1"/>
  <c r="Q294" i="1"/>
  <c r="Q296" i="1"/>
  <c r="Q298" i="1"/>
  <c r="Q300" i="1"/>
  <c r="Q302" i="1"/>
  <c r="Q304" i="1"/>
  <c r="Q306" i="1"/>
  <c r="Q308" i="1"/>
  <c r="Q310" i="1"/>
  <c r="Q312" i="1"/>
  <c r="Q314" i="1"/>
  <c r="Q316" i="1"/>
  <c r="Q318" i="1"/>
  <c r="Q320" i="1"/>
  <c r="Q322" i="1"/>
  <c r="Q324" i="1"/>
  <c r="Q326" i="1"/>
  <c r="Q328" i="1"/>
  <c r="Q330" i="1"/>
  <c r="Q332" i="1"/>
  <c r="Q334" i="1"/>
  <c r="Q336" i="1"/>
  <c r="Q338" i="1"/>
  <c r="Q340" i="1"/>
  <c r="Q342" i="1"/>
  <c r="Q344" i="1"/>
  <c r="Q346" i="1"/>
  <c r="Q348" i="1"/>
  <c r="Q350" i="1"/>
  <c r="Q352" i="1"/>
  <c r="Q354" i="1"/>
  <c r="Q356" i="1"/>
  <c r="Q358" i="1"/>
  <c r="Q360" i="1"/>
  <c r="Q362" i="1"/>
  <c r="Q364" i="1"/>
  <c r="Q366" i="1"/>
  <c r="Q368" i="1"/>
  <c r="Q370" i="1"/>
  <c r="Q372" i="1"/>
  <c r="Q374" i="1"/>
  <c r="Q376" i="1"/>
  <c r="Q378" i="1"/>
  <c r="Q380" i="1"/>
  <c r="Q382" i="1"/>
  <c r="Q384" i="1"/>
  <c r="Q386" i="1"/>
  <c r="Q388" i="1"/>
  <c r="Q390" i="1"/>
  <c r="Q392" i="1"/>
  <c r="Q394" i="1"/>
  <c r="Q396" i="1"/>
  <c r="Q398" i="1"/>
  <c r="Q400" i="1"/>
  <c r="Q402" i="1"/>
  <c r="Q404" i="1"/>
  <c r="Q406" i="1"/>
  <c r="Q408" i="1"/>
  <c r="Q410" i="1"/>
  <c r="Q412" i="1"/>
  <c r="Q414" i="1"/>
  <c r="Q416" i="1"/>
  <c r="Q418" i="1"/>
  <c r="Q420" i="1"/>
  <c r="Q422" i="1"/>
  <c r="Q424" i="1"/>
  <c r="Q426" i="1"/>
  <c r="Q428" i="1"/>
  <c r="Q430" i="1"/>
  <c r="Q432" i="1"/>
  <c r="Q434" i="1"/>
  <c r="Q436" i="1"/>
  <c r="Q438" i="1"/>
  <c r="Q440" i="1"/>
  <c r="Q442" i="1"/>
  <c r="Q444" i="1"/>
  <c r="Q446" i="1"/>
  <c r="Q448" i="1"/>
  <c r="Q450" i="1"/>
  <c r="Q452" i="1"/>
  <c r="Q454" i="1"/>
  <c r="Q456" i="1"/>
  <c r="Q458" i="1"/>
  <c r="Q460" i="1"/>
  <c r="Q462" i="1"/>
  <c r="Q464" i="1"/>
  <c r="Q466" i="1"/>
  <c r="Q468" i="1"/>
  <c r="Q470" i="1"/>
  <c r="Q472" i="1"/>
  <c r="Q474" i="1"/>
  <c r="Q476" i="1"/>
  <c r="Q478" i="1"/>
  <c r="Q480" i="1"/>
  <c r="Q482" i="1"/>
  <c r="Q484" i="1"/>
  <c r="Q486" i="1"/>
  <c r="Q488" i="1"/>
  <c r="Q490" i="1"/>
  <c r="Q492" i="1"/>
  <c r="Q494" i="1"/>
  <c r="Q496" i="1"/>
  <c r="Q498" i="1"/>
  <c r="Q500" i="1"/>
  <c r="Q502" i="1"/>
  <c r="Q504" i="1"/>
  <c r="Q506" i="1"/>
  <c r="Q508" i="1"/>
  <c r="Q514" i="1"/>
  <c r="Q518" i="1"/>
  <c r="Q520" i="1"/>
  <c r="Q522" i="1"/>
  <c r="Q528" i="1"/>
  <c r="Q530" i="1"/>
  <c r="Q532" i="1"/>
  <c r="Q534" i="1"/>
  <c r="Q540" i="1"/>
  <c r="Q542" i="1"/>
  <c r="Q544" i="1"/>
  <c r="Q548" i="1"/>
  <c r="Q550" i="1"/>
  <c r="Q552" i="1"/>
  <c r="Q554" i="1"/>
  <c r="Q556" i="1"/>
  <c r="Q558" i="1"/>
  <c r="Q560" i="1"/>
  <c r="Q562" i="1"/>
  <c r="Q564" i="1"/>
  <c r="Q566" i="1"/>
  <c r="Q568" i="1"/>
  <c r="Q572" i="1"/>
  <c r="Q574" i="1"/>
  <c r="Q331" i="1"/>
  <c r="Q333" i="1"/>
  <c r="Q335" i="1"/>
  <c r="Q337" i="1"/>
  <c r="Q339" i="1"/>
  <c r="Q341" i="1"/>
  <c r="Q343" i="1"/>
  <c r="Q345" i="1"/>
  <c r="Q347" i="1"/>
  <c r="Q349" i="1"/>
  <c r="Q351" i="1"/>
  <c r="Q353" i="1"/>
  <c r="Q355" i="1"/>
  <c r="Q357" i="1"/>
  <c r="Q359" i="1"/>
  <c r="Q361" i="1"/>
  <c r="Q363" i="1"/>
  <c r="Q365" i="1"/>
  <c r="Q367" i="1"/>
  <c r="Q369" i="1"/>
  <c r="Q371" i="1"/>
  <c r="Q373" i="1"/>
  <c r="Q375" i="1"/>
  <c r="Q377" i="1"/>
  <c r="Q379" i="1"/>
  <c r="Q381" i="1"/>
  <c r="Q383" i="1"/>
  <c r="Q385" i="1"/>
  <c r="Q387" i="1"/>
  <c r="Q389" i="1"/>
  <c r="Q391" i="1"/>
  <c r="Q393" i="1"/>
  <c r="Q395" i="1"/>
  <c r="Q397" i="1"/>
  <c r="Q399" i="1"/>
  <c r="Q401" i="1"/>
  <c r="Q403" i="1"/>
  <c r="Q405" i="1"/>
  <c r="Q407" i="1"/>
  <c r="Q409" i="1"/>
  <c r="Q411" i="1"/>
  <c r="Q413" i="1"/>
  <c r="Q415" i="1"/>
  <c r="Q417" i="1"/>
  <c r="Q419" i="1"/>
  <c r="Q421" i="1"/>
  <c r="Q423" i="1"/>
  <c r="Q425" i="1"/>
  <c r="Q427" i="1"/>
  <c r="Q429" i="1"/>
  <c r="Q431" i="1"/>
  <c r="Q433" i="1"/>
  <c r="Q435" i="1"/>
  <c r="Q437" i="1"/>
  <c r="Q439" i="1"/>
  <c r="Q441" i="1"/>
  <c r="Q443" i="1"/>
  <c r="Q445" i="1"/>
  <c r="Q447" i="1"/>
  <c r="Q449" i="1"/>
  <c r="Q451" i="1"/>
  <c r="Q453" i="1"/>
  <c r="Q455" i="1"/>
  <c r="Q457" i="1"/>
  <c r="Q459" i="1"/>
  <c r="Q461" i="1"/>
  <c r="Q463" i="1"/>
  <c r="Q465" i="1"/>
  <c r="Q467" i="1"/>
  <c r="Q469" i="1"/>
  <c r="Q471" i="1"/>
  <c r="Q473" i="1"/>
  <c r="Q475" i="1"/>
  <c r="Q477" i="1"/>
  <c r="Q479" i="1"/>
  <c r="Q481" i="1"/>
  <c r="Q483" i="1"/>
  <c r="Q485" i="1"/>
  <c r="Q487" i="1"/>
  <c r="Q489" i="1"/>
  <c r="Q491" i="1"/>
  <c r="Q493" i="1"/>
  <c r="Q495" i="1"/>
  <c r="Q497" i="1"/>
  <c r="Q499" i="1"/>
  <c r="Q501" i="1"/>
  <c r="Q503" i="1"/>
  <c r="Q505" i="1"/>
  <c r="Q507" i="1"/>
  <c r="Q509" i="1"/>
  <c r="Q515" i="1"/>
  <c r="Q517" i="1"/>
  <c r="Q519" i="1"/>
  <c r="Q521" i="1"/>
  <c r="Q523" i="1"/>
  <c r="Q525" i="1"/>
  <c r="Q527" i="1"/>
  <c r="Q529" i="1"/>
  <c r="Q531" i="1"/>
  <c r="Q533" i="1"/>
  <c r="Q535" i="1"/>
  <c r="Q537" i="1"/>
  <c r="Q539" i="1"/>
  <c r="Q541" i="1"/>
  <c r="Q545" i="1"/>
  <c r="Q547" i="1"/>
  <c r="Q549" i="1"/>
  <c r="Q551" i="1"/>
  <c r="Q553" i="1"/>
  <c r="Q555" i="1"/>
  <c r="Q557" i="1"/>
  <c r="Q559" i="1"/>
  <c r="Q561" i="1"/>
  <c r="Q563" i="1"/>
  <c r="Q565" i="1"/>
  <c r="Q567" i="1"/>
  <c r="Q569" i="1"/>
  <c r="Q571" i="1"/>
  <c r="Q573" i="1"/>
  <c r="S208" i="1"/>
  <c r="S214" i="1"/>
  <c r="S218" i="1"/>
  <c r="S221" i="1"/>
  <c r="S223" i="1"/>
  <c r="S225" i="1"/>
  <c r="S231" i="1"/>
  <c r="S234" i="1"/>
  <c r="S236" i="1"/>
  <c r="S243" i="1"/>
  <c r="S245" i="1"/>
  <c r="S250" i="1"/>
  <c r="S254" i="1"/>
  <c r="S259" i="1"/>
  <c r="S511" i="1"/>
  <c r="S513" i="1"/>
  <c r="S524" i="1"/>
  <c r="S536" i="1"/>
  <c r="S543" i="1"/>
  <c r="S570" i="1"/>
  <c r="Q588" i="1"/>
  <c r="Q592" i="1"/>
  <c r="Q596" i="1"/>
  <c r="Q600" i="1"/>
  <c r="S578" i="1"/>
  <c r="S582" i="1"/>
  <c r="S586" i="1"/>
  <c r="S590" i="1"/>
  <c r="S594" i="1"/>
  <c r="S598" i="1"/>
  <c r="Q576" i="1"/>
  <c r="Q208" i="1"/>
  <c r="Q214" i="1"/>
  <c r="Q218" i="1"/>
  <c r="Q221" i="1"/>
  <c r="Q223" i="1"/>
  <c r="Q225" i="1"/>
  <c r="Q231" i="1"/>
  <c r="Q234" i="1"/>
  <c r="Q236" i="1"/>
  <c r="Q243" i="1"/>
  <c r="Q245" i="1"/>
  <c r="Q250" i="1"/>
  <c r="Q254" i="1"/>
  <c r="Q259" i="1"/>
  <c r="Q511" i="1"/>
  <c r="Q513" i="1"/>
  <c r="Q524" i="1"/>
  <c r="Q536" i="1"/>
  <c r="Q543" i="1"/>
  <c r="Q570" i="1"/>
  <c r="S213" i="1"/>
  <c r="S220" i="1"/>
  <c r="S224" i="1"/>
  <c r="S233" i="1"/>
  <c r="S237" i="1"/>
  <c r="S246" i="1"/>
  <c r="S255" i="1"/>
  <c r="S512" i="1"/>
  <c r="S526" i="1"/>
  <c r="S546" i="1"/>
  <c r="Q590" i="1"/>
  <c r="Q598" i="1"/>
  <c r="S580" i="1"/>
  <c r="S588" i="1"/>
  <c r="S596" i="1"/>
  <c r="Q578" i="1"/>
  <c r="Q582" i="1"/>
  <c r="Q586" i="1"/>
  <c r="B599" i="1"/>
  <c r="Q591" i="1"/>
  <c r="Q595" i="1"/>
  <c r="Q599" i="1"/>
  <c r="S577" i="1"/>
  <c r="S581" i="1"/>
  <c r="S585" i="1"/>
  <c r="S591" i="1"/>
  <c r="S595" i="1"/>
  <c r="S599" i="1"/>
  <c r="Q577" i="1"/>
  <c r="Q581" i="1"/>
  <c r="Q585" i="1"/>
  <c r="B598" i="1"/>
  <c r="S3" i="1"/>
  <c r="S7" i="1"/>
  <c r="S11" i="1"/>
  <c r="S15" i="1"/>
  <c r="S19" i="1"/>
  <c r="S23" i="1"/>
  <c r="S27" i="1"/>
  <c r="S31" i="1"/>
  <c r="S35" i="1"/>
  <c r="S39" i="1"/>
  <c r="S43" i="1"/>
  <c r="S47" i="1"/>
  <c r="S51" i="1"/>
  <c r="S55" i="1"/>
  <c r="S59" i="1"/>
  <c r="S63" i="1"/>
  <c r="S67" i="1"/>
  <c r="S71" i="1"/>
  <c r="S75" i="1"/>
  <c r="S79" i="1"/>
  <c r="S83" i="1"/>
  <c r="S87" i="1"/>
  <c r="S91" i="1"/>
  <c r="S95" i="1"/>
  <c r="S99" i="1"/>
  <c r="S103" i="1"/>
  <c r="S107" i="1"/>
  <c r="S111" i="1"/>
  <c r="S115" i="1"/>
  <c r="S119" i="1"/>
  <c r="S123" i="1"/>
  <c r="S127" i="1"/>
  <c r="S131" i="1"/>
  <c r="S135" i="1"/>
  <c r="S139" i="1"/>
  <c r="S143" i="1"/>
  <c r="S147" i="1"/>
  <c r="S151" i="1"/>
  <c r="S155" i="1"/>
  <c r="S159" i="1"/>
  <c r="S163" i="1"/>
  <c r="S167" i="1"/>
  <c r="S171" i="1"/>
  <c r="S8" i="1"/>
  <c r="S16" i="1"/>
  <c r="S24" i="1"/>
  <c r="S32" i="1"/>
  <c r="S40" i="1"/>
  <c r="S48" i="1"/>
  <c r="S56" i="1"/>
  <c r="S64" i="1"/>
  <c r="S72" i="1"/>
  <c r="S80" i="1"/>
  <c r="S88" i="1"/>
  <c r="S96" i="1"/>
  <c r="S104" i="1"/>
  <c r="S112" i="1"/>
  <c r="S120" i="1"/>
  <c r="S128" i="1"/>
  <c r="S136" i="1"/>
  <c r="S144" i="1"/>
  <c r="S152" i="1"/>
  <c r="S160" i="1"/>
  <c r="S168" i="1"/>
  <c r="S174" i="1"/>
  <c r="S178" i="1"/>
  <c r="S182" i="1"/>
  <c r="S186" i="1"/>
  <c r="S190" i="1"/>
  <c r="S194" i="1"/>
  <c r="S198" i="1"/>
  <c r="S202" i="1"/>
  <c r="S206" i="1"/>
  <c r="S212" i="1"/>
  <c r="S228" i="1"/>
  <c r="S232" i="1"/>
  <c r="S240" i="1"/>
  <c r="S248" i="1"/>
  <c r="S258" i="1"/>
  <c r="S262" i="1"/>
  <c r="S266" i="1"/>
  <c r="S270" i="1"/>
  <c r="S274" i="1"/>
  <c r="S278" i="1"/>
  <c r="S282" i="1"/>
  <c r="S286" i="1"/>
  <c r="S290" i="1"/>
  <c r="S294" i="1"/>
  <c r="S298" i="1"/>
  <c r="S302" i="1"/>
  <c r="S306" i="1"/>
  <c r="S310" i="1"/>
  <c r="S314" i="1"/>
  <c r="S318" i="1"/>
  <c r="S322" i="1"/>
  <c r="S326" i="1"/>
  <c r="S330" i="1"/>
  <c r="S334" i="1"/>
  <c r="S338" i="1"/>
  <c r="S342" i="1"/>
  <c r="S346" i="1"/>
  <c r="S350" i="1"/>
  <c r="S354" i="1"/>
  <c r="S358" i="1"/>
  <c r="S362" i="1"/>
  <c r="S2" i="1"/>
  <c r="S571" i="1"/>
  <c r="S567" i="1"/>
  <c r="S563" i="1"/>
  <c r="S559" i="1"/>
  <c r="S555" i="1"/>
  <c r="S551" i="1"/>
  <c r="S547" i="1"/>
  <c r="S541" i="1"/>
  <c r="S537" i="1"/>
  <c r="S533" i="1"/>
  <c r="S529" i="1"/>
  <c r="S525" i="1"/>
  <c r="S521" i="1"/>
  <c r="S517" i="1"/>
  <c r="S509" i="1"/>
  <c r="S505" i="1"/>
  <c r="S501" i="1"/>
  <c r="S497" i="1"/>
  <c r="S493" i="1"/>
  <c r="S489" i="1"/>
  <c r="S485" i="1"/>
  <c r="S481" i="1"/>
  <c r="S477" i="1"/>
  <c r="S574" i="1"/>
  <c r="S568" i="1"/>
  <c r="S564" i="1"/>
  <c r="S560" i="1"/>
  <c r="S556" i="1"/>
  <c r="S552" i="1"/>
  <c r="S548" i="1"/>
  <c r="S542" i="1"/>
  <c r="S534" i="1"/>
  <c r="S530" i="1"/>
  <c r="S522" i="1"/>
  <c r="S518" i="1"/>
  <c r="S508" i="1"/>
  <c r="S504" i="1"/>
  <c r="S500" i="1"/>
  <c r="S496" i="1"/>
  <c r="S492" i="1"/>
  <c r="S488" i="1"/>
  <c r="S484" i="1"/>
  <c r="S480" i="1"/>
  <c r="S476" i="1"/>
  <c r="S472" i="1"/>
  <c r="S468" i="1"/>
  <c r="S464" i="1"/>
  <c r="S460" i="1"/>
  <c r="S456" i="1"/>
  <c r="S452" i="1"/>
  <c r="S448" i="1"/>
  <c r="S444" i="1"/>
  <c r="S440" i="1"/>
  <c r="S436" i="1"/>
  <c r="S432" i="1"/>
  <c r="S428" i="1"/>
  <c r="S421" i="1"/>
  <c r="S413" i="1"/>
  <c r="S405" i="1"/>
  <c r="S397" i="1"/>
  <c r="S389" i="1"/>
  <c r="S381" i="1"/>
  <c r="S373" i="1"/>
  <c r="S365" i="1"/>
  <c r="S357" i="1"/>
  <c r="S349" i="1"/>
  <c r="S341" i="1"/>
  <c r="S333" i="1"/>
  <c r="S325" i="1"/>
  <c r="S317" i="1"/>
  <c r="S309" i="1"/>
  <c r="S301" i="1"/>
  <c r="S293" i="1"/>
  <c r="S285" i="1"/>
  <c r="S277" i="1"/>
  <c r="S269" i="1"/>
  <c r="S261" i="1"/>
  <c r="S253" i="1"/>
  <c r="S241" i="1"/>
  <c r="S217" i="1"/>
  <c r="S205" i="1"/>
  <c r="S197" i="1"/>
  <c r="S189" i="1"/>
  <c r="S181" i="1"/>
  <c r="S471" i="1"/>
  <c r="S467" i="1"/>
  <c r="S463" i="1"/>
  <c r="S459" i="1"/>
  <c r="S455" i="1"/>
  <c r="S451" i="1"/>
  <c r="S447" i="1"/>
  <c r="S443" i="1"/>
  <c r="S439" i="1"/>
  <c r="S435" i="1"/>
  <c r="S431" i="1"/>
  <c r="S427" i="1"/>
  <c r="S419" i="1"/>
  <c r="S411" i="1"/>
  <c r="S403" i="1"/>
  <c r="S395" i="1"/>
  <c r="S387" i="1"/>
  <c r="S379" i="1"/>
  <c r="S371" i="1"/>
  <c r="S363" i="1"/>
  <c r="S355" i="1"/>
  <c r="S347" i="1"/>
  <c r="S339" i="1"/>
  <c r="S331" i="1"/>
  <c r="S323" i="1"/>
  <c r="S315" i="1"/>
  <c r="S307" i="1"/>
  <c r="S299" i="1"/>
  <c r="S291" i="1"/>
  <c r="S283" i="1"/>
  <c r="S275" i="1"/>
  <c r="S267" i="1"/>
  <c r="S251" i="1"/>
  <c r="S239" i="1"/>
  <c r="S215" i="1"/>
  <c r="S207" i="1"/>
  <c r="S199" i="1"/>
  <c r="S191" i="1"/>
  <c r="S183" i="1"/>
  <c r="S177" i="1"/>
  <c r="S173" i="1"/>
  <c r="S166" i="1"/>
  <c r="S158" i="1"/>
  <c r="S150" i="1"/>
  <c r="S142" i="1"/>
  <c r="S134" i="1"/>
  <c r="S126" i="1"/>
  <c r="S118" i="1"/>
  <c r="S110" i="1"/>
  <c r="S102" i="1"/>
  <c r="S94" i="1"/>
  <c r="S86" i="1"/>
  <c r="S78" i="1"/>
  <c r="S70" i="1"/>
  <c r="S62" i="1"/>
  <c r="S54" i="1"/>
  <c r="S46" i="1"/>
  <c r="S38" i="1"/>
  <c r="S30" i="1"/>
  <c r="S22" i="1"/>
  <c r="S14" i="1"/>
  <c r="S6" i="1"/>
  <c r="S424" i="1"/>
  <c r="S420" i="1"/>
  <c r="S416" i="1"/>
  <c r="S412" i="1"/>
  <c r="S408" i="1"/>
  <c r="S404" i="1"/>
  <c r="S400" i="1"/>
  <c r="S396" i="1"/>
  <c r="S392" i="1"/>
  <c r="S388" i="1"/>
  <c r="S384" i="1"/>
  <c r="S380" i="1"/>
  <c r="S376" i="1"/>
  <c r="S372" i="1"/>
  <c r="S368" i="1"/>
  <c r="S364" i="1"/>
  <c r="S356" i="1"/>
  <c r="S348" i="1"/>
  <c r="S340" i="1"/>
  <c r="S332" i="1"/>
  <c r="S324" i="1"/>
  <c r="S316" i="1"/>
  <c r="S308" i="1"/>
  <c r="S300" i="1"/>
  <c r="S292" i="1"/>
  <c r="S284" i="1"/>
  <c r="S276" i="1"/>
  <c r="S268" i="1"/>
  <c r="S260" i="1"/>
  <c r="S242" i="1"/>
  <c r="S230" i="1"/>
  <c r="S210" i="1"/>
  <c r="S200" i="1"/>
  <c r="S192" i="1"/>
  <c r="S184" i="1"/>
  <c r="S176" i="1"/>
  <c r="S164" i="1"/>
  <c r="S148" i="1"/>
  <c r="S132" i="1"/>
  <c r="S116" i="1"/>
  <c r="S100" i="1"/>
  <c r="S84" i="1"/>
  <c r="S68" i="1"/>
  <c r="S52" i="1"/>
  <c r="S36" i="1"/>
  <c r="S20" i="1"/>
  <c r="S4" i="1"/>
  <c r="S165" i="1"/>
  <c r="S157" i="1"/>
  <c r="S149" i="1"/>
  <c r="S141" i="1"/>
  <c r="S133" i="1"/>
  <c r="S125" i="1"/>
  <c r="S117" i="1"/>
  <c r="S109" i="1"/>
  <c r="S101" i="1"/>
  <c r="S93" i="1"/>
  <c r="S85" i="1"/>
  <c r="S77" i="1"/>
  <c r="S69" i="1"/>
  <c r="S61" i="1"/>
  <c r="S53" i="1"/>
  <c r="S45" i="1"/>
  <c r="S37" i="1"/>
  <c r="S29" i="1"/>
  <c r="S21" i="1"/>
  <c r="S13" i="1"/>
  <c r="S5" i="1"/>
  <c r="B596" i="1"/>
  <c r="Q583" i="1"/>
  <c r="Q575" i="1"/>
  <c r="S593" i="1"/>
  <c r="S583" i="1"/>
  <c r="S575" i="1"/>
  <c r="Q593" i="1"/>
  <c r="B597" i="1"/>
  <c r="Q584" i="1"/>
  <c r="S600" i="1"/>
  <c r="S584" i="1"/>
  <c r="Q594" i="1"/>
  <c r="S538" i="1"/>
  <c r="S510" i="1"/>
  <c r="S244" i="1"/>
  <c r="S227" i="1"/>
  <c r="S216" i="1"/>
  <c r="Q546" i="1"/>
  <c r="Q526" i="1"/>
  <c r="Q512" i="1"/>
  <c r="Q255" i="1"/>
  <c r="Q246" i="1"/>
  <c r="Q237" i="1"/>
  <c r="Q233" i="1"/>
  <c r="Q224" i="1"/>
  <c r="Q220" i="1"/>
  <c r="Q213" i="1"/>
  <c r="Q235" i="1"/>
  <c r="S565" i="1"/>
  <c r="S549" i="1"/>
  <c r="S531" i="1"/>
  <c r="S515" i="1"/>
  <c r="S495" i="1"/>
  <c r="S479" i="1"/>
  <c r="S562" i="1"/>
  <c r="S544" i="1"/>
  <c r="S520" i="1"/>
  <c r="S498" i="1"/>
  <c r="S482" i="1"/>
  <c r="S466" i="1"/>
  <c r="S450" i="1"/>
  <c r="S434" i="1"/>
  <c r="S409" i="1"/>
  <c r="S377" i="1"/>
  <c r="S345" i="1"/>
  <c r="S313" i="1"/>
  <c r="S281" i="1"/>
  <c r="S249" i="1"/>
  <c r="S193" i="1"/>
  <c r="S465" i="1"/>
  <c r="S437" i="1"/>
  <c r="S383" i="1"/>
  <c r="S319" i="1"/>
  <c r="S247" i="1"/>
  <c r="S170" i="1"/>
  <c r="S106" i="1"/>
  <c r="S42" i="1"/>
  <c r="S414" i="1"/>
  <c r="S382" i="1"/>
  <c r="S336" i="1"/>
  <c r="S272" i="1"/>
  <c r="S196" i="1"/>
  <c r="S92" i="1"/>
  <c r="S169" i="1"/>
  <c r="S105" i="1"/>
  <c r="S41" i="1"/>
  <c r="S516" i="1"/>
  <c r="Q252" i="1"/>
  <c r="S569" i="1"/>
  <c r="S561" i="1"/>
  <c r="S553" i="1"/>
  <c r="S545" i="1"/>
  <c r="S535" i="1"/>
  <c r="S527" i="1"/>
  <c r="S519" i="1"/>
  <c r="S507" i="1"/>
  <c r="S499" i="1"/>
  <c r="S491" i="1"/>
  <c r="S483" i="1"/>
  <c r="S475" i="1"/>
  <c r="S566" i="1"/>
  <c r="S558" i="1"/>
  <c r="S550" i="1"/>
  <c r="S540" i="1"/>
  <c r="S528" i="1"/>
  <c r="S514" i="1"/>
  <c r="S502" i="1"/>
  <c r="S494" i="1"/>
  <c r="S486" i="1"/>
  <c r="S478" i="1"/>
  <c r="S470" i="1"/>
  <c r="S462" i="1"/>
  <c r="S454" i="1"/>
  <c r="S446" i="1"/>
  <c r="S438" i="1"/>
  <c r="S430" i="1"/>
  <c r="S417" i="1"/>
  <c r="S401" i="1"/>
  <c r="S385" i="1"/>
  <c r="S369" i="1"/>
  <c r="S353" i="1"/>
  <c r="S337" i="1"/>
  <c r="S321" i="1"/>
  <c r="S305" i="1"/>
  <c r="S289" i="1"/>
  <c r="S273" i="1"/>
  <c r="S257" i="1"/>
  <c r="S229" i="1"/>
  <c r="S201" i="1"/>
  <c r="S185" i="1"/>
  <c r="S469" i="1"/>
  <c r="S461" i="1"/>
  <c r="S445" i="1"/>
  <c r="S429" i="1"/>
  <c r="S399" i="1"/>
  <c r="S367" i="1"/>
  <c r="S335" i="1"/>
  <c r="S303" i="1"/>
  <c r="S271" i="1"/>
  <c r="S211" i="1"/>
  <c r="S179" i="1"/>
  <c r="S154" i="1"/>
  <c r="S122" i="1"/>
  <c r="S90" i="1"/>
  <c r="S58" i="1"/>
  <c r="S26" i="1"/>
  <c r="S422" i="1"/>
  <c r="S406" i="1"/>
  <c r="S390" i="1"/>
  <c r="S374" i="1"/>
  <c r="S352" i="1"/>
  <c r="S320" i="1"/>
  <c r="S288" i="1"/>
  <c r="S256" i="1"/>
  <c r="S226" i="1"/>
  <c r="S180" i="1"/>
  <c r="S124" i="1"/>
  <c r="S60" i="1"/>
  <c r="S28" i="1"/>
  <c r="S153" i="1"/>
  <c r="S121" i="1"/>
  <c r="S89" i="1"/>
  <c r="S57" i="1"/>
  <c r="S25" i="1"/>
  <c r="S597" i="1"/>
  <c r="Q589" i="1"/>
  <c r="S576" i="1"/>
  <c r="S235" i="1"/>
  <c r="Q516" i="1"/>
  <c r="Q216" i="1"/>
  <c r="Q227" i="1"/>
  <c r="Q244" i="1"/>
  <c r="Q510" i="1"/>
  <c r="Q538" i="1"/>
  <c r="S222" i="1"/>
  <c r="S252" i="1"/>
  <c r="S587" i="1"/>
  <c r="S592" i="1"/>
  <c r="Q597" i="1"/>
  <c r="S589" i="1"/>
  <c r="Q579" i="1"/>
  <c r="B600" i="1"/>
  <c r="S17" i="1"/>
  <c r="S33" i="1"/>
  <c r="S49" i="1"/>
  <c r="S65" i="1"/>
  <c r="S81" i="1"/>
  <c r="S97" i="1"/>
  <c r="S113" i="1"/>
  <c r="S129" i="1"/>
  <c r="S145" i="1"/>
  <c r="S161" i="1"/>
  <c r="S12" i="1"/>
  <c r="S76" i="1"/>
  <c r="S108" i="1"/>
  <c r="S140" i="1"/>
  <c r="S172" i="1"/>
  <c r="S188" i="1"/>
  <c r="S204" i="1"/>
  <c r="S264" i="1"/>
  <c r="S280" i="1"/>
  <c r="S296" i="1"/>
  <c r="S312" i="1"/>
  <c r="S328" i="1"/>
  <c r="S344" i="1"/>
  <c r="S360" i="1"/>
  <c r="S370" i="1"/>
  <c r="S378" i="1"/>
  <c r="S386" i="1"/>
  <c r="S394" i="1"/>
  <c r="S402" i="1"/>
  <c r="S410" i="1"/>
  <c r="S418" i="1"/>
  <c r="S426" i="1"/>
  <c r="S18" i="1"/>
  <c r="S34" i="1"/>
  <c r="S50" i="1"/>
  <c r="S66" i="1"/>
  <c r="S82" i="1"/>
  <c r="S98" i="1"/>
  <c r="S114" i="1"/>
  <c r="S130" i="1"/>
  <c r="S146" i="1"/>
  <c r="S162" i="1"/>
  <c r="S175" i="1"/>
  <c r="S187" i="1"/>
  <c r="S203" i="1"/>
  <c r="S219" i="1"/>
  <c r="S263" i="1"/>
  <c r="S279" i="1"/>
  <c r="S295" i="1"/>
  <c r="S311" i="1"/>
  <c r="S327" i="1"/>
  <c r="S343" i="1"/>
  <c r="S359" i="1"/>
  <c r="S375" i="1"/>
  <c r="S391" i="1"/>
  <c r="S407" i="1"/>
  <c r="S423" i="1"/>
  <c r="S433" i="1"/>
  <c r="S441" i="1"/>
  <c r="S449" i="1"/>
  <c r="S457" i="1"/>
  <c r="V218" i="9" l="1"/>
  <c r="O208" i="1" l="1"/>
  <c r="O213" i="1"/>
  <c r="O214" i="1"/>
  <c r="O216" i="1"/>
  <c r="O218" i="1"/>
  <c r="O220" i="1"/>
  <c r="O221" i="1"/>
  <c r="O222" i="1"/>
  <c r="O223" i="1"/>
  <c r="O224" i="1"/>
  <c r="O225" i="1"/>
  <c r="O227" i="1"/>
  <c r="O231" i="1"/>
  <c r="O233" i="1"/>
  <c r="O234" i="1"/>
  <c r="O235" i="1"/>
  <c r="O236" i="1"/>
  <c r="O237" i="1"/>
  <c r="O243" i="1"/>
  <c r="O244" i="1"/>
  <c r="O245" i="1"/>
  <c r="O246" i="1"/>
  <c r="O250" i="1"/>
  <c r="O252" i="1"/>
  <c r="O254" i="1"/>
  <c r="O255" i="1"/>
  <c r="O259" i="1"/>
  <c r="O510" i="1"/>
  <c r="O511" i="1"/>
  <c r="O512" i="1"/>
  <c r="O513" i="1"/>
  <c r="O516" i="1"/>
  <c r="O524" i="1"/>
  <c r="O526" i="1"/>
  <c r="O536" i="1"/>
  <c r="O538" i="1"/>
  <c r="O543" i="1"/>
  <c r="O546" i="1"/>
  <c r="O570" i="1"/>
  <c r="O587" i="1"/>
  <c r="A62" i="3"/>
  <c r="A64" i="3"/>
  <c r="A63" i="3"/>
  <c r="O574" i="1"/>
  <c r="O575" i="1"/>
  <c r="O576" i="1"/>
  <c r="O577" i="1"/>
  <c r="O578" i="1"/>
  <c r="O579" i="1"/>
  <c r="O580" i="1"/>
  <c r="O581" i="1"/>
  <c r="O582" i="1"/>
  <c r="O583" i="1"/>
  <c r="O584" i="1"/>
  <c r="O585" i="1"/>
  <c r="O586" i="1"/>
  <c r="O588" i="1"/>
  <c r="O589" i="1"/>
  <c r="O590" i="1"/>
  <c r="O591" i="1"/>
  <c r="O592" i="1"/>
  <c r="O593" i="1"/>
  <c r="O594" i="1"/>
  <c r="O595" i="1"/>
  <c r="O596" i="1"/>
  <c r="O597" i="1"/>
  <c r="O598" i="1"/>
  <c r="O599" i="1"/>
  <c r="O600" i="1"/>
  <c r="D34" i="3"/>
  <c r="H34" i="3" s="1"/>
  <c r="C34" i="3" s="1"/>
  <c r="D35" i="3"/>
  <c r="H35" i="3" s="1"/>
  <c r="C35" i="3" s="1"/>
  <c r="D36" i="3"/>
  <c r="H36" i="3" s="1"/>
  <c r="D28" i="3"/>
  <c r="H28" i="3" s="1"/>
  <c r="C28" i="3" s="1"/>
  <c r="D29" i="3"/>
  <c r="H29" i="3" s="1"/>
  <c r="C29" i="3" s="1"/>
  <c r="D30" i="3"/>
  <c r="H30" i="3" s="1"/>
  <c r="C30" i="3" s="1"/>
  <c r="D31" i="3"/>
  <c r="H31" i="3" s="1"/>
  <c r="C31" i="3" s="1"/>
  <c r="D32" i="3"/>
  <c r="H32" i="3" s="1"/>
  <c r="C32" i="3" s="1"/>
  <c r="D33" i="3"/>
  <c r="H33" i="3" s="1"/>
  <c r="C33" i="3" s="1"/>
  <c r="V217" i="9"/>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9" i="1"/>
  <c r="O210" i="1"/>
  <c r="O211" i="1"/>
  <c r="O212" i="1"/>
  <c r="O215" i="1"/>
  <c r="O217" i="1"/>
  <c r="O219" i="1"/>
  <c r="O226" i="1"/>
  <c r="O228" i="1"/>
  <c r="O229" i="1"/>
  <c r="O230" i="1"/>
  <c r="O232" i="1"/>
  <c r="O238" i="1"/>
  <c r="O239" i="1"/>
  <c r="O240" i="1"/>
  <c r="O241" i="1"/>
  <c r="O242" i="1"/>
  <c r="O247" i="1"/>
  <c r="O248" i="1"/>
  <c r="O249" i="1"/>
  <c r="O251" i="1"/>
  <c r="O253" i="1"/>
  <c r="O256" i="1"/>
  <c r="O257" i="1"/>
  <c r="O258"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4" i="1"/>
  <c r="O515" i="1"/>
  <c r="O517" i="1"/>
  <c r="O518" i="1"/>
  <c r="O519" i="1"/>
  <c r="O520" i="1"/>
  <c r="O521" i="1"/>
  <c r="O522" i="1"/>
  <c r="O523" i="1"/>
  <c r="O525" i="1"/>
  <c r="O527" i="1"/>
  <c r="O528" i="1"/>
  <c r="O529" i="1"/>
  <c r="O530" i="1"/>
  <c r="O531" i="1"/>
  <c r="O532" i="1"/>
  <c r="O533" i="1"/>
  <c r="O534" i="1"/>
  <c r="O535" i="1"/>
  <c r="O537" i="1"/>
  <c r="O539" i="1"/>
  <c r="O540" i="1"/>
  <c r="O541" i="1"/>
  <c r="O542" i="1"/>
  <c r="O544" i="1"/>
  <c r="O545" i="1"/>
  <c r="O547" i="1"/>
  <c r="O548" i="1"/>
  <c r="O549" i="1"/>
  <c r="O550" i="1"/>
  <c r="O551" i="1"/>
  <c r="O552" i="1"/>
  <c r="O553" i="1"/>
  <c r="O554" i="1"/>
  <c r="O555" i="1"/>
  <c r="O556" i="1"/>
  <c r="O557" i="1"/>
  <c r="O558" i="1"/>
  <c r="O559" i="1"/>
  <c r="O560" i="1"/>
  <c r="O561" i="1"/>
  <c r="O562" i="1"/>
  <c r="O563" i="1"/>
  <c r="O564" i="1"/>
  <c r="O565" i="1"/>
  <c r="O566" i="1"/>
  <c r="O567" i="1"/>
  <c r="O568" i="1"/>
  <c r="O569" i="1"/>
  <c r="O571" i="1"/>
  <c r="O572" i="1"/>
  <c r="O573" i="1"/>
  <c r="O2" i="1"/>
  <c r="D21" i="3"/>
  <c r="H21" i="3" s="1"/>
  <c r="C21" i="3" s="1"/>
  <c r="D22" i="3"/>
  <c r="H22" i="3" s="1"/>
  <c r="C22" i="3" s="1"/>
  <c r="D23" i="3"/>
  <c r="H23" i="3" s="1"/>
  <c r="D24" i="3"/>
  <c r="H24" i="3" s="1"/>
  <c r="C24" i="3" s="1"/>
  <c r="D25" i="3"/>
  <c r="H25" i="3" s="1"/>
  <c r="D26" i="3"/>
  <c r="H26" i="3" s="1"/>
  <c r="D27" i="3"/>
  <c r="H27" i="3" s="1"/>
  <c r="C27" i="3" s="1"/>
  <c r="D37" i="3"/>
  <c r="H37" i="3" s="1"/>
  <c r="C37" i="3" s="1"/>
  <c r="D38" i="3"/>
  <c r="H38" i="3" s="1"/>
  <c r="C38" i="3" s="1"/>
  <c r="T2" i="1"/>
  <c r="T3" i="1" s="1"/>
  <c r="T4" i="1" s="1"/>
  <c r="T5" i="1" s="1"/>
  <c r="T6" i="1" s="1"/>
  <c r="T7" i="1" s="1"/>
  <c r="T8" i="1" s="1"/>
  <c r="T9" i="1" s="1"/>
  <c r="T10" i="1" s="1"/>
  <c r="T11" i="1" s="1"/>
  <c r="T12" i="1" s="1"/>
  <c r="T13" i="1" s="1"/>
  <c r="T14" i="1" s="1"/>
  <c r="T15" i="1" s="1"/>
  <c r="T16" i="1" s="1"/>
  <c r="T17" i="1" s="1"/>
  <c r="T18" i="1" s="1"/>
  <c r="T19" i="1" s="1"/>
  <c r="T20" i="1" s="1"/>
  <c r="T21" i="1" s="1"/>
  <c r="T22" i="1" s="1"/>
  <c r="T23" i="1" s="1"/>
  <c r="T24" i="1" s="1"/>
  <c r="T25" i="1" s="1"/>
  <c r="T26" i="1" s="1"/>
  <c r="T27" i="1" s="1"/>
  <c r="T28" i="1" s="1"/>
  <c r="T29" i="1" s="1"/>
  <c r="T30" i="1" s="1"/>
  <c r="T31" i="1" s="1"/>
  <c r="T32" i="1" s="1"/>
  <c r="T33" i="1" s="1"/>
  <c r="T34" i="1" s="1"/>
  <c r="T35" i="1" s="1"/>
  <c r="T36" i="1" s="1"/>
  <c r="T37" i="1" s="1"/>
  <c r="T38" i="1" s="1"/>
  <c r="T39" i="1" s="1"/>
  <c r="T40" i="1" s="1"/>
  <c r="T41" i="1" s="1"/>
  <c r="T42" i="1" s="1"/>
  <c r="T43" i="1" s="1"/>
  <c r="T44" i="1" s="1"/>
  <c r="T45" i="1" s="1"/>
  <c r="T46" i="1" s="1"/>
  <c r="T47" i="1" s="1"/>
  <c r="T48" i="1" s="1"/>
  <c r="T49" i="1" s="1"/>
  <c r="T50" i="1" s="1"/>
  <c r="T51" i="1" s="1"/>
  <c r="T52" i="1" s="1"/>
  <c r="T53" i="1" s="1"/>
  <c r="T54" i="1" s="1"/>
  <c r="T55" i="1" s="1"/>
  <c r="T56" i="1" s="1"/>
  <c r="T57" i="1" s="1"/>
  <c r="T58" i="1" s="1"/>
  <c r="T59" i="1" s="1"/>
  <c r="T60" i="1" s="1"/>
  <c r="T61" i="1" s="1"/>
  <c r="T62" i="1" s="1"/>
  <c r="T63" i="1" s="1"/>
  <c r="T64" i="1" s="1"/>
  <c r="T65" i="1" s="1"/>
  <c r="T66" i="1" s="1"/>
  <c r="T67" i="1" s="1"/>
  <c r="T68" i="1" s="1"/>
  <c r="T69" i="1" s="1"/>
  <c r="T70" i="1" s="1"/>
  <c r="T71" i="1" s="1"/>
  <c r="T72" i="1" s="1"/>
  <c r="T73" i="1" s="1"/>
  <c r="T74" i="1" s="1"/>
  <c r="T75" i="1" s="1"/>
  <c r="T76" i="1" s="1"/>
  <c r="T77" i="1" s="1"/>
  <c r="T78" i="1" s="1"/>
  <c r="T79" i="1" s="1"/>
  <c r="T80" i="1" s="1"/>
  <c r="T81" i="1" s="1"/>
  <c r="T82" i="1" s="1"/>
  <c r="T83" i="1" s="1"/>
  <c r="T84" i="1" s="1"/>
  <c r="T85" i="1" s="1"/>
  <c r="T86" i="1" s="1"/>
  <c r="T87" i="1" s="1"/>
  <c r="T88" i="1" s="1"/>
  <c r="T89" i="1" s="1"/>
  <c r="T90" i="1" s="1"/>
  <c r="T91" i="1" s="1"/>
  <c r="T92" i="1" s="1"/>
  <c r="T93" i="1" s="1"/>
  <c r="T94" i="1" s="1"/>
  <c r="T95" i="1" s="1"/>
  <c r="T96" i="1" s="1"/>
  <c r="T97" i="1" s="1"/>
  <c r="T98" i="1" s="1"/>
  <c r="T99" i="1" s="1"/>
  <c r="T100" i="1" s="1"/>
  <c r="T101" i="1" s="1"/>
  <c r="T102" i="1" s="1"/>
  <c r="T103" i="1" s="1"/>
  <c r="T104" i="1" s="1"/>
  <c r="T105" i="1" s="1"/>
  <c r="T106" i="1" s="1"/>
  <c r="T107" i="1" s="1"/>
  <c r="T108" i="1" s="1"/>
  <c r="T109" i="1" s="1"/>
  <c r="T110" i="1" s="1"/>
  <c r="T111" i="1" s="1"/>
  <c r="T112" i="1" s="1"/>
  <c r="T113" i="1" s="1"/>
  <c r="T114" i="1" s="1"/>
  <c r="T115" i="1" s="1"/>
  <c r="T116" i="1" s="1"/>
  <c r="T117" i="1" s="1"/>
  <c r="T118" i="1" s="1"/>
  <c r="T119" i="1" s="1"/>
  <c r="T120" i="1" s="1"/>
  <c r="T121" i="1" s="1"/>
  <c r="T122" i="1" s="1"/>
  <c r="T123" i="1" s="1"/>
  <c r="T124" i="1" s="1"/>
  <c r="T125" i="1" s="1"/>
  <c r="T126" i="1" s="1"/>
  <c r="T127" i="1" s="1"/>
  <c r="T128" i="1" s="1"/>
  <c r="T129" i="1" s="1"/>
  <c r="T130" i="1" s="1"/>
  <c r="T131" i="1" s="1"/>
  <c r="T132" i="1" s="1"/>
  <c r="T133" i="1" s="1"/>
  <c r="T134" i="1" s="1"/>
  <c r="T135" i="1" s="1"/>
  <c r="T136" i="1" s="1"/>
  <c r="T137" i="1" s="1"/>
  <c r="T138" i="1" s="1"/>
  <c r="T139" i="1" s="1"/>
  <c r="T140" i="1" s="1"/>
  <c r="T141" i="1" s="1"/>
  <c r="T142" i="1" s="1"/>
  <c r="T143" i="1" s="1"/>
  <c r="T144" i="1" s="1"/>
  <c r="T145" i="1" s="1"/>
  <c r="T146" i="1" s="1"/>
  <c r="T147" i="1" s="1"/>
  <c r="T148" i="1" s="1"/>
  <c r="T149" i="1" s="1"/>
  <c r="T150" i="1" s="1"/>
  <c r="T151" i="1" s="1"/>
  <c r="T152" i="1" s="1"/>
  <c r="T153" i="1" s="1"/>
  <c r="T154" i="1" s="1"/>
  <c r="T155" i="1" s="1"/>
  <c r="T156" i="1" s="1"/>
  <c r="T157" i="1" s="1"/>
  <c r="T158" i="1" s="1"/>
  <c r="T159" i="1" s="1"/>
  <c r="T160" i="1" s="1"/>
  <c r="T161" i="1" s="1"/>
  <c r="T162" i="1" s="1"/>
  <c r="T163" i="1" s="1"/>
  <c r="T164" i="1" s="1"/>
  <c r="T165" i="1" s="1"/>
  <c r="T166" i="1" s="1"/>
  <c r="T167" i="1" s="1"/>
  <c r="T168" i="1" s="1"/>
  <c r="T169" i="1" s="1"/>
  <c r="T170" i="1" s="1"/>
  <c r="T171" i="1" s="1"/>
  <c r="T172" i="1" s="1"/>
  <c r="T173" i="1" s="1"/>
  <c r="T174" i="1" s="1"/>
  <c r="T175" i="1" s="1"/>
  <c r="T176" i="1" s="1"/>
  <c r="T177" i="1" s="1"/>
  <c r="T178" i="1" s="1"/>
  <c r="T179" i="1" s="1"/>
  <c r="T180" i="1" s="1"/>
  <c r="T181" i="1" s="1"/>
  <c r="T182" i="1" s="1"/>
  <c r="T183" i="1" s="1"/>
  <c r="T184" i="1" s="1"/>
  <c r="T185" i="1" s="1"/>
  <c r="T186" i="1" s="1"/>
  <c r="T187" i="1" s="1"/>
  <c r="T188" i="1" s="1"/>
  <c r="T189" i="1" s="1"/>
  <c r="T190" i="1" s="1"/>
  <c r="T191" i="1" s="1"/>
  <c r="T192" i="1" s="1"/>
  <c r="T193" i="1" s="1"/>
  <c r="T194" i="1" s="1"/>
  <c r="T195" i="1" s="1"/>
  <c r="T196" i="1" s="1"/>
  <c r="T197" i="1" s="1"/>
  <c r="T198" i="1" s="1"/>
  <c r="T199" i="1" s="1"/>
  <c r="T200" i="1" s="1"/>
  <c r="T201" i="1" s="1"/>
  <c r="T202" i="1" s="1"/>
  <c r="T203" i="1" s="1"/>
  <c r="T204" i="1" s="1"/>
  <c r="T205" i="1" s="1"/>
  <c r="T206" i="1" s="1"/>
  <c r="T207" i="1" s="1"/>
  <c r="T208" i="1" s="1"/>
  <c r="T209" i="1" s="1"/>
  <c r="T210" i="1" s="1"/>
  <c r="T211" i="1" s="1"/>
  <c r="T212" i="1" s="1"/>
  <c r="T213" i="1" s="1"/>
  <c r="T214" i="1" s="1"/>
  <c r="T215" i="1" s="1"/>
  <c r="T216" i="1" s="1"/>
  <c r="T217" i="1" s="1"/>
  <c r="T218" i="1" s="1"/>
  <c r="T219" i="1" s="1"/>
  <c r="T220" i="1" s="1"/>
  <c r="T221" i="1" s="1"/>
  <c r="T222" i="1" s="1"/>
  <c r="T223" i="1" s="1"/>
  <c r="T224" i="1" s="1"/>
  <c r="T225" i="1" s="1"/>
  <c r="T226" i="1" s="1"/>
  <c r="T227" i="1" s="1"/>
  <c r="T228" i="1" s="1"/>
  <c r="T229" i="1" s="1"/>
  <c r="T230" i="1" s="1"/>
  <c r="T231" i="1" s="1"/>
  <c r="T232" i="1" s="1"/>
  <c r="T233" i="1" s="1"/>
  <c r="T234" i="1" s="1"/>
  <c r="T235" i="1" s="1"/>
  <c r="T236" i="1" s="1"/>
  <c r="T237" i="1" s="1"/>
  <c r="T238" i="1" s="1"/>
  <c r="T239" i="1" s="1"/>
  <c r="T240" i="1" s="1"/>
  <c r="T241" i="1" s="1"/>
  <c r="T242" i="1" s="1"/>
  <c r="T243" i="1" s="1"/>
  <c r="T244" i="1" s="1"/>
  <c r="T245" i="1" s="1"/>
  <c r="T246" i="1" s="1"/>
  <c r="T247" i="1" s="1"/>
  <c r="T248" i="1" s="1"/>
  <c r="T249" i="1" s="1"/>
  <c r="T250" i="1" s="1"/>
  <c r="T251" i="1" s="1"/>
  <c r="T252" i="1" s="1"/>
  <c r="T253" i="1" s="1"/>
  <c r="T254" i="1" s="1"/>
  <c r="T255" i="1" s="1"/>
  <c r="T256" i="1" s="1"/>
  <c r="T257" i="1" s="1"/>
  <c r="T258" i="1" s="1"/>
  <c r="T259" i="1" s="1"/>
  <c r="T260" i="1" s="1"/>
  <c r="T261" i="1" s="1"/>
  <c r="T262" i="1" s="1"/>
  <c r="T263" i="1" s="1"/>
  <c r="T264" i="1" s="1"/>
  <c r="T265" i="1" s="1"/>
  <c r="T266" i="1" s="1"/>
  <c r="T267" i="1" s="1"/>
  <c r="T268" i="1" s="1"/>
  <c r="T269" i="1" s="1"/>
  <c r="T270" i="1" s="1"/>
  <c r="T271" i="1" s="1"/>
  <c r="T272" i="1" s="1"/>
  <c r="T273" i="1" s="1"/>
  <c r="T274" i="1" s="1"/>
  <c r="T275" i="1" s="1"/>
  <c r="T276" i="1" s="1"/>
  <c r="T277" i="1" s="1"/>
  <c r="T278" i="1" s="1"/>
  <c r="T279" i="1" s="1"/>
  <c r="T280" i="1" s="1"/>
  <c r="T281" i="1" s="1"/>
  <c r="T282" i="1" s="1"/>
  <c r="T283" i="1" s="1"/>
  <c r="T284" i="1" s="1"/>
  <c r="T285" i="1" s="1"/>
  <c r="T286" i="1" s="1"/>
  <c r="T287" i="1" s="1"/>
  <c r="T288" i="1" s="1"/>
  <c r="T289" i="1" s="1"/>
  <c r="T290" i="1" s="1"/>
  <c r="T291" i="1" s="1"/>
  <c r="T292" i="1" s="1"/>
  <c r="T293" i="1" s="1"/>
  <c r="T294" i="1" s="1"/>
  <c r="T295" i="1" s="1"/>
  <c r="T296" i="1" s="1"/>
  <c r="T297" i="1" s="1"/>
  <c r="T298" i="1" s="1"/>
  <c r="T299" i="1" s="1"/>
  <c r="T300" i="1" s="1"/>
  <c r="T301" i="1" s="1"/>
  <c r="T302" i="1" s="1"/>
  <c r="T303" i="1" s="1"/>
  <c r="T304" i="1" s="1"/>
  <c r="T305" i="1" s="1"/>
  <c r="T306" i="1" s="1"/>
  <c r="T307" i="1" s="1"/>
  <c r="T308" i="1" s="1"/>
  <c r="T309" i="1" s="1"/>
  <c r="T310" i="1" s="1"/>
  <c r="T311" i="1" s="1"/>
  <c r="T312" i="1" s="1"/>
  <c r="T313" i="1" s="1"/>
  <c r="T314" i="1" s="1"/>
  <c r="T315" i="1" s="1"/>
  <c r="T316" i="1" s="1"/>
  <c r="T317" i="1" s="1"/>
  <c r="T318" i="1" s="1"/>
  <c r="T319" i="1" s="1"/>
  <c r="T320" i="1" s="1"/>
  <c r="T321" i="1" s="1"/>
  <c r="T322" i="1" s="1"/>
  <c r="T323" i="1" s="1"/>
  <c r="T324" i="1" s="1"/>
  <c r="T325" i="1" s="1"/>
  <c r="T326" i="1" s="1"/>
  <c r="T327" i="1" s="1"/>
  <c r="T328" i="1" s="1"/>
  <c r="T329" i="1" s="1"/>
  <c r="T330" i="1" s="1"/>
  <c r="T331" i="1" s="1"/>
  <c r="T332" i="1" s="1"/>
  <c r="T333" i="1" s="1"/>
  <c r="T334" i="1" s="1"/>
  <c r="T335" i="1" s="1"/>
  <c r="T336" i="1" s="1"/>
  <c r="T337" i="1" s="1"/>
  <c r="T338" i="1" s="1"/>
  <c r="T339" i="1" s="1"/>
  <c r="T340" i="1" s="1"/>
  <c r="T341" i="1" s="1"/>
  <c r="T342" i="1" s="1"/>
  <c r="T343" i="1" s="1"/>
  <c r="T344" i="1" s="1"/>
  <c r="T345" i="1" s="1"/>
  <c r="T346" i="1" s="1"/>
  <c r="T347" i="1" s="1"/>
  <c r="T348" i="1" s="1"/>
  <c r="T349" i="1" s="1"/>
  <c r="T350" i="1" s="1"/>
  <c r="T351" i="1" s="1"/>
  <c r="T352" i="1" s="1"/>
  <c r="T353" i="1" s="1"/>
  <c r="T354" i="1" s="1"/>
  <c r="T355" i="1" s="1"/>
  <c r="T356" i="1" s="1"/>
  <c r="T357" i="1" s="1"/>
  <c r="T358" i="1" s="1"/>
  <c r="T359" i="1" s="1"/>
  <c r="T360" i="1" s="1"/>
  <c r="T361" i="1" s="1"/>
  <c r="T362" i="1" s="1"/>
  <c r="T363" i="1" s="1"/>
  <c r="T364" i="1" s="1"/>
  <c r="T365" i="1" s="1"/>
  <c r="T366" i="1" s="1"/>
  <c r="T367" i="1" s="1"/>
  <c r="T368" i="1" s="1"/>
  <c r="T369" i="1" s="1"/>
  <c r="T370" i="1" s="1"/>
  <c r="T371" i="1" s="1"/>
  <c r="T372" i="1" s="1"/>
  <c r="T373" i="1" s="1"/>
  <c r="T374" i="1" s="1"/>
  <c r="T375" i="1" s="1"/>
  <c r="T376" i="1" s="1"/>
  <c r="T377" i="1" s="1"/>
  <c r="T378" i="1" s="1"/>
  <c r="T379" i="1" s="1"/>
  <c r="T380" i="1" s="1"/>
  <c r="T381" i="1" s="1"/>
  <c r="T382" i="1" s="1"/>
  <c r="T383" i="1" s="1"/>
  <c r="T384" i="1" s="1"/>
  <c r="T385" i="1" s="1"/>
  <c r="T386" i="1" s="1"/>
  <c r="T387" i="1" s="1"/>
  <c r="T388" i="1" s="1"/>
  <c r="T389" i="1" s="1"/>
  <c r="T390" i="1" s="1"/>
  <c r="T391" i="1" s="1"/>
  <c r="T392" i="1" s="1"/>
  <c r="T393" i="1" s="1"/>
  <c r="T394" i="1" s="1"/>
  <c r="T395" i="1" s="1"/>
  <c r="T396" i="1" s="1"/>
  <c r="T397" i="1" s="1"/>
  <c r="T398" i="1" s="1"/>
  <c r="T399" i="1" s="1"/>
  <c r="T400" i="1" s="1"/>
  <c r="T401" i="1" s="1"/>
  <c r="T402" i="1" s="1"/>
  <c r="T403" i="1" s="1"/>
  <c r="T404" i="1" s="1"/>
  <c r="T405" i="1" s="1"/>
  <c r="T406" i="1" s="1"/>
  <c r="T407" i="1" s="1"/>
  <c r="T408" i="1" s="1"/>
  <c r="T409" i="1" s="1"/>
  <c r="T410" i="1" s="1"/>
  <c r="T411" i="1" s="1"/>
  <c r="T412" i="1" s="1"/>
  <c r="T413" i="1" s="1"/>
  <c r="T414" i="1" s="1"/>
  <c r="T415" i="1" s="1"/>
  <c r="T416" i="1" s="1"/>
  <c r="T417" i="1" s="1"/>
  <c r="T418" i="1" s="1"/>
  <c r="T419" i="1" s="1"/>
  <c r="T420" i="1" s="1"/>
  <c r="T421" i="1" s="1"/>
  <c r="T422" i="1" s="1"/>
  <c r="T423" i="1" s="1"/>
  <c r="T424" i="1" s="1"/>
  <c r="T425" i="1" s="1"/>
  <c r="T426" i="1" s="1"/>
  <c r="T427" i="1" s="1"/>
  <c r="T428" i="1" s="1"/>
  <c r="T429" i="1" s="1"/>
  <c r="T430" i="1" s="1"/>
  <c r="T431" i="1" s="1"/>
  <c r="T432" i="1" s="1"/>
  <c r="T433" i="1" s="1"/>
  <c r="T434" i="1" s="1"/>
  <c r="T435" i="1" s="1"/>
  <c r="T436" i="1" s="1"/>
  <c r="T437" i="1" s="1"/>
  <c r="T438" i="1" s="1"/>
  <c r="T439" i="1" s="1"/>
  <c r="T440" i="1" s="1"/>
  <c r="T441" i="1" s="1"/>
  <c r="T442" i="1" s="1"/>
  <c r="T443" i="1" s="1"/>
  <c r="T444" i="1" s="1"/>
  <c r="T445" i="1" s="1"/>
  <c r="T446" i="1" s="1"/>
  <c r="T447" i="1" s="1"/>
  <c r="T448" i="1" s="1"/>
  <c r="T449" i="1" s="1"/>
  <c r="T450" i="1" s="1"/>
  <c r="T451" i="1" s="1"/>
  <c r="T452" i="1" s="1"/>
  <c r="T453" i="1" s="1"/>
  <c r="T454" i="1" s="1"/>
  <c r="T455" i="1" s="1"/>
  <c r="T456" i="1" s="1"/>
  <c r="T457" i="1" s="1"/>
  <c r="T458" i="1" s="1"/>
  <c r="T459" i="1" s="1"/>
  <c r="T460" i="1" s="1"/>
  <c r="T461" i="1" s="1"/>
  <c r="T462" i="1" s="1"/>
  <c r="T463" i="1" s="1"/>
  <c r="T464" i="1" s="1"/>
  <c r="T465" i="1" s="1"/>
  <c r="T466" i="1" s="1"/>
  <c r="T467" i="1" s="1"/>
  <c r="T468" i="1" s="1"/>
  <c r="T469" i="1" s="1"/>
  <c r="T470" i="1" s="1"/>
  <c r="T471" i="1" s="1"/>
  <c r="T472" i="1" s="1"/>
  <c r="T473" i="1" s="1"/>
  <c r="T474" i="1" s="1"/>
  <c r="T475" i="1" s="1"/>
  <c r="T476" i="1" s="1"/>
  <c r="T477" i="1" s="1"/>
  <c r="T478" i="1" s="1"/>
  <c r="T479" i="1" s="1"/>
  <c r="T480" i="1" s="1"/>
  <c r="T481" i="1" s="1"/>
  <c r="T482" i="1" s="1"/>
  <c r="T483" i="1" s="1"/>
  <c r="T484" i="1" s="1"/>
  <c r="T485" i="1" s="1"/>
  <c r="T486" i="1" s="1"/>
  <c r="T487" i="1" s="1"/>
  <c r="T488" i="1" s="1"/>
  <c r="T489" i="1" s="1"/>
  <c r="T490" i="1" s="1"/>
  <c r="T491" i="1" s="1"/>
  <c r="T492" i="1" s="1"/>
  <c r="T493" i="1" s="1"/>
  <c r="T494" i="1" s="1"/>
  <c r="T495" i="1" s="1"/>
  <c r="T496" i="1" s="1"/>
  <c r="T497" i="1" s="1"/>
  <c r="T498" i="1" s="1"/>
  <c r="T499" i="1" s="1"/>
  <c r="T500" i="1" s="1"/>
  <c r="T501" i="1" s="1"/>
  <c r="T502" i="1" s="1"/>
  <c r="T503" i="1" s="1"/>
  <c r="T504" i="1" s="1"/>
  <c r="T505" i="1" s="1"/>
  <c r="T506" i="1" s="1"/>
  <c r="T507" i="1" s="1"/>
  <c r="T508" i="1" s="1"/>
  <c r="T509" i="1" s="1"/>
  <c r="T510" i="1" s="1"/>
  <c r="T511" i="1" s="1"/>
  <c r="T512" i="1" s="1"/>
  <c r="T513" i="1" s="1"/>
  <c r="T514" i="1" s="1"/>
  <c r="T515" i="1" s="1"/>
  <c r="T516" i="1" s="1"/>
  <c r="T517" i="1" s="1"/>
  <c r="T518" i="1" s="1"/>
  <c r="T519" i="1" s="1"/>
  <c r="T520" i="1" s="1"/>
  <c r="T521" i="1" s="1"/>
  <c r="T522" i="1" s="1"/>
  <c r="T523" i="1" s="1"/>
  <c r="T524" i="1" s="1"/>
  <c r="T525" i="1" s="1"/>
  <c r="T526" i="1" s="1"/>
  <c r="T527" i="1" s="1"/>
  <c r="T528" i="1" s="1"/>
  <c r="T529" i="1" s="1"/>
  <c r="T530" i="1" s="1"/>
  <c r="T531" i="1" s="1"/>
  <c r="T532" i="1" s="1"/>
  <c r="T533" i="1" s="1"/>
  <c r="T534" i="1" s="1"/>
  <c r="T535" i="1" s="1"/>
  <c r="T536" i="1" s="1"/>
  <c r="T537" i="1" s="1"/>
  <c r="T538" i="1" s="1"/>
  <c r="T539" i="1" s="1"/>
  <c r="T540" i="1" s="1"/>
  <c r="T541" i="1" s="1"/>
  <c r="T542" i="1" s="1"/>
  <c r="T543" i="1" s="1"/>
  <c r="T544" i="1" s="1"/>
  <c r="T545" i="1" s="1"/>
  <c r="T546" i="1" s="1"/>
  <c r="T547" i="1" s="1"/>
  <c r="T548" i="1" s="1"/>
  <c r="T549" i="1" s="1"/>
  <c r="T550" i="1" s="1"/>
  <c r="T551" i="1" s="1"/>
  <c r="T552" i="1" s="1"/>
  <c r="T553" i="1" s="1"/>
  <c r="T554" i="1" s="1"/>
  <c r="T555" i="1" s="1"/>
  <c r="T556" i="1" s="1"/>
  <c r="T557" i="1" s="1"/>
  <c r="T558" i="1" s="1"/>
  <c r="T559" i="1" s="1"/>
  <c r="T560" i="1" s="1"/>
  <c r="T561" i="1" s="1"/>
  <c r="T562" i="1" s="1"/>
  <c r="T563" i="1" s="1"/>
  <c r="T564" i="1" s="1"/>
  <c r="T565" i="1" s="1"/>
  <c r="T566" i="1" s="1"/>
  <c r="T567" i="1" s="1"/>
  <c r="T568" i="1" s="1"/>
  <c r="T569" i="1" s="1"/>
  <c r="T570" i="1" s="1"/>
  <c r="T571" i="1" s="1"/>
  <c r="T572" i="1" s="1"/>
  <c r="T573" i="1" s="1"/>
  <c r="T574" i="1" s="1"/>
  <c r="T575" i="1" s="1"/>
  <c r="T576" i="1" s="1"/>
  <c r="T577" i="1" s="1"/>
  <c r="T578" i="1" s="1"/>
  <c r="T579" i="1" s="1"/>
  <c r="T580" i="1" s="1"/>
  <c r="T581" i="1" s="1"/>
  <c r="T582" i="1" s="1"/>
  <c r="T583" i="1" s="1"/>
  <c r="T584" i="1" s="1"/>
  <c r="T585" i="1" s="1"/>
  <c r="T586" i="1" s="1"/>
  <c r="T587" i="1" s="1"/>
  <c r="T588" i="1" s="1"/>
  <c r="T589" i="1" s="1"/>
  <c r="T590" i="1" s="1"/>
  <c r="T591" i="1" s="1"/>
  <c r="T592" i="1" s="1"/>
  <c r="T593" i="1" s="1"/>
  <c r="T594" i="1" s="1"/>
  <c r="T595" i="1" s="1"/>
  <c r="T596" i="1" s="1"/>
  <c r="T597" i="1" s="1"/>
  <c r="T598" i="1" s="1"/>
  <c r="T599" i="1" s="1"/>
  <c r="T600" i="1" s="1"/>
  <c r="D14" i="3"/>
  <c r="H14" i="3" s="1"/>
  <c r="C14" i="3" s="1"/>
  <c r="D15" i="3"/>
  <c r="H15" i="3" s="1"/>
  <c r="C15" i="3" s="1"/>
  <c r="D16" i="3"/>
  <c r="H16" i="3" s="1"/>
  <c r="D17" i="3"/>
  <c r="H17" i="3" s="1"/>
  <c r="C17" i="3" s="1"/>
  <c r="D18" i="3"/>
  <c r="H18" i="3" s="1"/>
  <c r="D19" i="3"/>
  <c r="H19" i="3" s="1"/>
  <c r="C19" i="3" s="1"/>
  <c r="D20" i="3"/>
  <c r="H20" i="3" s="1"/>
  <c r="D3" i="3"/>
  <c r="H3" i="3" s="1"/>
  <c r="C3" i="3" s="1"/>
  <c r="D4" i="3"/>
  <c r="H4" i="3" s="1"/>
  <c r="D5" i="3"/>
  <c r="H5" i="3" s="1"/>
  <c r="C5" i="3" s="1"/>
  <c r="D6" i="3"/>
  <c r="H6" i="3" s="1"/>
  <c r="D7" i="3"/>
  <c r="H7" i="3" s="1"/>
  <c r="C7" i="3" s="1"/>
  <c r="D8" i="3"/>
  <c r="H8" i="3" s="1"/>
  <c r="D9" i="3"/>
  <c r="H9" i="3" s="1"/>
  <c r="C9" i="3" s="1"/>
  <c r="D10" i="3"/>
  <c r="H10" i="3" s="1"/>
  <c r="D11" i="3"/>
  <c r="H11" i="3" s="1"/>
  <c r="C11" i="3" s="1"/>
  <c r="D12" i="3"/>
  <c r="H12" i="3" s="1"/>
  <c r="D13" i="3"/>
  <c r="H13" i="3" s="1"/>
  <c r="C13" i="3" s="1"/>
  <c r="D2" i="3"/>
  <c r="H2" i="3" s="1"/>
  <c r="C23" i="3"/>
  <c r="C36" i="3"/>
  <c r="I21" i="3"/>
  <c r="I24" i="3"/>
  <c r="I37" i="3"/>
  <c r="I27" i="3"/>
  <c r="I23" i="3"/>
  <c r="I22" i="3"/>
  <c r="I30" i="3"/>
  <c r="I32" i="3"/>
  <c r="I31" i="3"/>
  <c r="I14" i="3"/>
  <c r="I38" i="3"/>
  <c r="I29" i="3"/>
  <c r="I34" i="3"/>
  <c r="I28" i="3"/>
  <c r="I11" i="3"/>
  <c r="I35" i="3"/>
  <c r="I33" i="3"/>
  <c r="I36" i="3"/>
  <c r="C25" i="3" l="1"/>
  <c r="C2" i="3"/>
  <c r="C12" i="3"/>
  <c r="C10" i="3"/>
  <c r="C8" i="3"/>
  <c r="C6" i="3"/>
  <c r="C4" i="3"/>
  <c r="C20" i="3"/>
  <c r="C18" i="3"/>
  <c r="C16" i="3"/>
  <c r="C26" i="3"/>
  <c r="I17" i="3"/>
  <c r="I2" i="3"/>
  <c r="I6" i="3"/>
  <c r="I16" i="3"/>
  <c r="I7" i="3"/>
  <c r="I9" i="3"/>
  <c r="I12" i="3"/>
  <c r="I4" i="3"/>
  <c r="I26" i="3"/>
  <c r="I3" i="3"/>
  <c r="I10" i="3"/>
  <c r="I20" i="3"/>
  <c r="I13" i="3"/>
  <c r="I19" i="3"/>
  <c r="I25" i="3"/>
  <c r="I8" i="3"/>
  <c r="I18" i="3"/>
  <c r="I5" i="3"/>
  <c r="I15" i="3"/>
</calcChain>
</file>

<file path=xl/comments1.xml><?xml version="1.0" encoding="utf-8"?>
<comments xmlns="http://schemas.openxmlformats.org/spreadsheetml/2006/main">
  <authors>
    <author>Jacob Oommen</author>
  </authors>
  <commentList>
    <comment ref="A1" authorId="0" shapeId="0">
      <text>
        <r>
          <rPr>
            <b/>
            <sz val="9"/>
            <color indexed="81"/>
            <rFont val="Tahoma"/>
            <family val="2"/>
          </rPr>
          <t>Jacob Oommen:</t>
        </r>
        <r>
          <rPr>
            <sz val="9"/>
            <color indexed="81"/>
            <rFont val="Tahoma"/>
            <family val="2"/>
          </rPr>
          <t xml:space="preserve">
Not used in qif export.  Number used to identify the collection each day</t>
        </r>
      </text>
    </comment>
    <comment ref="B1" authorId="0" shapeId="0">
      <text>
        <r>
          <rPr>
            <b/>
            <sz val="9"/>
            <color indexed="81"/>
            <rFont val="Tahoma"/>
            <family val="2"/>
          </rPr>
          <t xml:space="preserve">Jacob Oommen:
</t>
        </r>
        <r>
          <rPr>
            <sz val="9"/>
            <color indexed="81"/>
            <rFont val="Tahoma"/>
            <family val="2"/>
          </rPr>
          <t xml:space="preserve">Title. (Mr, Ms, Dr etc)
</t>
        </r>
      </text>
    </comment>
    <comment ref="E1" authorId="0" shapeId="0">
      <text>
        <r>
          <rPr>
            <b/>
            <sz val="9"/>
            <color indexed="81"/>
            <rFont val="Tahoma"/>
            <family val="2"/>
          </rPr>
          <t>Jacob Oommen:
Change Validation to your own financial year</t>
        </r>
        <r>
          <rPr>
            <sz val="9"/>
            <color indexed="81"/>
            <rFont val="Tahoma"/>
            <family val="2"/>
          </rPr>
          <t xml:space="preserve">
</t>
        </r>
      </text>
    </comment>
    <comment ref="H1" authorId="0" shapeId="0">
      <text>
        <r>
          <rPr>
            <b/>
            <sz val="9"/>
            <color indexed="81"/>
            <rFont val="Tahoma"/>
            <family val="2"/>
          </rPr>
          <t>Jacob Oommen:</t>
        </r>
        <r>
          <rPr>
            <sz val="9"/>
            <color indexed="81"/>
            <rFont val="Tahoma"/>
            <family val="2"/>
          </rPr>
          <t xml:space="preserve">
Cash, Cheque or EFT (Electronic Fund Transfer)</t>
        </r>
      </text>
    </comment>
    <comment ref="N1" authorId="0" shapeId="0">
      <text>
        <r>
          <rPr>
            <b/>
            <sz val="9"/>
            <color indexed="81"/>
            <rFont val="Tahoma"/>
            <family val="2"/>
          </rPr>
          <t>Jacob Oommen:</t>
        </r>
        <r>
          <rPr>
            <sz val="9"/>
            <color indexed="81"/>
            <rFont val="Tahoma"/>
            <family val="2"/>
          </rPr>
          <t xml:space="preserve">
Once imported into GnuCash, fill with 'Entered'.  This will prevent the transaction from being exported to qif the next time the macro is run</t>
        </r>
      </text>
    </comment>
    <comment ref="O1" authorId="0" shapeId="0">
      <text>
        <r>
          <rPr>
            <b/>
            <sz val="9"/>
            <color indexed="81"/>
            <rFont val="Tahoma"/>
            <family val="2"/>
          </rPr>
          <t>Jacob Oommen:</t>
        </r>
        <r>
          <rPr>
            <sz val="9"/>
            <color indexed="81"/>
            <rFont val="Tahoma"/>
            <family val="2"/>
          </rPr>
          <t xml:space="preserve">
FMV means fair market value</t>
        </r>
      </text>
    </comment>
    <comment ref="D523" authorId="0" shapeId="0">
      <text>
        <r>
          <rPr>
            <b/>
            <sz val="9"/>
            <color indexed="81"/>
            <rFont val="Tahoma"/>
            <family val="2"/>
          </rPr>
          <t>Jacob Oommen:</t>
        </r>
        <r>
          <rPr>
            <sz val="9"/>
            <color indexed="81"/>
            <rFont val="Tahoma"/>
            <family val="2"/>
          </rPr>
          <t xml:space="preserve">
Receipt corrected after discussing with C D Mathews
</t>
        </r>
      </text>
    </comment>
  </commentList>
</comments>
</file>

<file path=xl/sharedStrings.xml><?xml version="1.0" encoding="utf-8"?>
<sst xmlns="http://schemas.openxmlformats.org/spreadsheetml/2006/main" count="2255" uniqueCount="1760">
  <si>
    <t>Cover No</t>
  </si>
  <si>
    <t>Name</t>
  </si>
  <si>
    <t>Type</t>
  </si>
  <si>
    <t>Amount</t>
  </si>
  <si>
    <t>Cum Amount</t>
  </si>
  <si>
    <t>Remarks</t>
  </si>
  <si>
    <t>Address from Edavaka List</t>
  </si>
  <si>
    <t>Receipt No</t>
  </si>
  <si>
    <t>ER No</t>
  </si>
  <si>
    <t>Date</t>
  </si>
  <si>
    <t>Address on Envelope</t>
  </si>
  <si>
    <t>Position of Receipt Number</t>
  </si>
  <si>
    <t>Position of cash/cheque identifier</t>
  </si>
  <si>
    <t>Name of Bank Account 1</t>
  </si>
  <si>
    <t>Name of Bank Account 2</t>
  </si>
  <si>
    <t>Name of Bank Account 3</t>
  </si>
  <si>
    <t>Position of Amount</t>
  </si>
  <si>
    <t>Position of Remarks (Memo field)</t>
  </si>
  <si>
    <t>Position of Bank Name on Cheque</t>
  </si>
  <si>
    <t>Position of Cheque Number  on Cheque</t>
  </si>
  <si>
    <t>Position of Account Holder Name  on Cheque</t>
  </si>
  <si>
    <t>Dated</t>
  </si>
  <si>
    <t>Account</t>
  </si>
  <si>
    <t>One Day Income</t>
  </si>
  <si>
    <t>Tithe</t>
  </si>
  <si>
    <t>Entry Status</t>
  </si>
  <si>
    <t>Row Labels</t>
  </si>
  <si>
    <t>Grand Total</t>
  </si>
  <si>
    <t>Parent Account of Cash in Hand</t>
  </si>
  <si>
    <t>Description</t>
  </si>
  <si>
    <t>Position of Member Name</t>
  </si>
  <si>
    <t>Searched for Position</t>
  </si>
  <si>
    <t>Column Name in Receipts Worksheet</t>
  </si>
  <si>
    <t>Column Name</t>
  </si>
  <si>
    <t>For Debugging Purpose</t>
  </si>
  <si>
    <t>Position of Cheque Date</t>
  </si>
  <si>
    <t>Parent Account of Members Accounts</t>
  </si>
  <si>
    <t>Parent Account of Asset:Current Asset:Bank</t>
  </si>
  <si>
    <t>Parent Account of Yearly Contribution Income Accounts</t>
  </si>
  <si>
    <t>Position Of Income Account Name</t>
  </si>
  <si>
    <t>Position of Receipt Date</t>
  </si>
  <si>
    <t>Position Of Entry Status</t>
  </si>
  <si>
    <t>Assets:Current Assets:Debtors:</t>
  </si>
  <si>
    <t>Income:Members Yearly Contributions:</t>
  </si>
  <si>
    <t>Column Number</t>
  </si>
  <si>
    <t>Name of Cash In Hand Account</t>
  </si>
  <si>
    <t>SB - General</t>
  </si>
  <si>
    <t>SB - Building</t>
  </si>
  <si>
    <t>SB - Other</t>
  </si>
  <si>
    <t>Bank Account</t>
  </si>
  <si>
    <t>Income Accounts, and Corresponding Bank 1</t>
  </si>
  <si>
    <t>Income Accounts, and Corresponding Bank 2</t>
  </si>
  <si>
    <t>Income Accounts, and Corresponding Bank 3</t>
  </si>
  <si>
    <t>Income Accounts, and Corresponding Bank 4</t>
  </si>
  <si>
    <t>Static Values</t>
  </si>
  <si>
    <t>Edit The values in the cells shaded in blue only as required.</t>
  </si>
  <si>
    <t>This worksheet is locked and only the configuration items that need to be changed are unlocked.   (For the users safety)</t>
  </si>
  <si>
    <t>Values</t>
  </si>
  <si>
    <t>Land and Building Fund</t>
  </si>
  <si>
    <t>Subscription</t>
  </si>
  <si>
    <t>Miscellaneous Contributions</t>
  </si>
  <si>
    <t>Baptism Thanks Giving</t>
  </si>
  <si>
    <t>Subscription Arrears</t>
  </si>
  <si>
    <t>Phone- Landline</t>
  </si>
  <si>
    <t>Phone-Mobile</t>
  </si>
  <si>
    <t>Email Address</t>
  </si>
  <si>
    <t>Mother Parish</t>
  </si>
  <si>
    <t>Family Name/Home Town-Husband</t>
  </si>
  <si>
    <t>Family Name/Home Town-Wife</t>
  </si>
  <si>
    <t>Area Prayer Group</t>
  </si>
  <si>
    <t>Relation with HOF</t>
  </si>
  <si>
    <t>DOB</t>
  </si>
  <si>
    <t>DOM</t>
  </si>
  <si>
    <t>Robin Verghese</t>
  </si>
  <si>
    <t>Cash in Hand - Jacob</t>
  </si>
  <si>
    <t>Assets:Current Assets:Cash in Hand:</t>
  </si>
  <si>
    <t>Name2</t>
  </si>
  <si>
    <t>Date of Enrolment</t>
  </si>
  <si>
    <t>Subscription Promised</t>
  </si>
  <si>
    <t>Terms of Payment</t>
  </si>
  <si>
    <t>Number of Contributions</t>
  </si>
  <si>
    <t>Total Amount Received</t>
  </si>
  <si>
    <t>Harvest Festival Donation</t>
  </si>
  <si>
    <t>Harvest Festival Auction</t>
  </si>
  <si>
    <t>Notes</t>
  </si>
  <si>
    <t>08.03.14.  Obsolete.  Not used anymore</t>
  </si>
  <si>
    <t>Harvest Festival Item for Auction</t>
  </si>
  <si>
    <t>Income Accounts, and Corresponding Bank 5</t>
  </si>
  <si>
    <t>Income Accounts, and Corresponding Bank 6</t>
  </si>
  <si>
    <t>Assets:Current Assets:</t>
  </si>
  <si>
    <t>Prayer Group</t>
  </si>
  <si>
    <t>Enrolment</t>
  </si>
  <si>
    <t>Brought By</t>
  </si>
  <si>
    <t>Item Name</t>
  </si>
  <si>
    <t>Quantity</t>
  </si>
  <si>
    <t>Item Code</t>
  </si>
  <si>
    <t>Item Cost</t>
  </si>
  <si>
    <t>Purchased By</t>
  </si>
  <si>
    <t>Non Member Name</t>
  </si>
  <si>
    <t>Sold Price</t>
  </si>
  <si>
    <t>Payment</t>
  </si>
  <si>
    <t>Address of Brought By</t>
  </si>
  <si>
    <t>Address of Purchased By</t>
  </si>
  <si>
    <t>Baptism Contribution</t>
  </si>
  <si>
    <t>Baptism Offertory</t>
  </si>
  <si>
    <t>Uposhanam</t>
  </si>
  <si>
    <t>Bank/ Item Name</t>
  </si>
  <si>
    <t>Check No/Item No</t>
  </si>
  <si>
    <t>Name on Check/Quantity</t>
  </si>
  <si>
    <t>Remarks/Sold to</t>
  </si>
  <si>
    <t xml:space="preserve"> Total FMV of Items Purchased</t>
  </si>
  <si>
    <t>Item Codes Purchased</t>
  </si>
  <si>
    <t>Item Codes Purchased in Harvest Festival Auction</t>
  </si>
  <si>
    <t>Sum of Item Cost</t>
  </si>
  <si>
    <t>Cash in Bank:Bank Accounts - General:SB - General</t>
  </si>
  <si>
    <t>Cash in Bank:Bank Accounts - Building:SB - Building</t>
  </si>
  <si>
    <t>Sum of Sold Price</t>
  </si>
  <si>
    <t>Sold To</t>
  </si>
  <si>
    <t>Name (Head of Family)</t>
  </si>
  <si>
    <t>Tithe, One Day Income,  Subscription, Subscription Arrears, Miscellaneous Contributions, Harvest Festival Donation, Baptism Contribution, Baptism Offertory, Baptism Thanks Giving, Uposhanam</t>
  </si>
  <si>
    <t>Items for Harvest Festival Auction:FMV of Items Donated</t>
  </si>
  <si>
    <t xml:space="preserve">Name of Corresponding Donated Items Asset Account </t>
  </si>
  <si>
    <t>Items for Harvest Festival Auction:FMV of Items Purchased</t>
  </si>
  <si>
    <t>Income Accounts, and Corresponding Bank 7</t>
  </si>
  <si>
    <t>Income Accounts, and Corresponding Bank 8</t>
  </si>
  <si>
    <t>Income Accounts, and Corresponding Bank 9</t>
  </si>
  <si>
    <t>Income Accounts, and Corresponding Bank 10</t>
  </si>
  <si>
    <t>Income Accounts, and Corresponding Bank 11</t>
  </si>
  <si>
    <t>Income Accounts, and Corresponding Bank 12</t>
  </si>
  <si>
    <t>Income Accounts, and Corresponding Bank 13</t>
  </si>
  <si>
    <t>Income Accounts, and Corresponding Bank 14</t>
  </si>
  <si>
    <t>Income Accounts, and Corresponding Bank 15</t>
  </si>
  <si>
    <t>Use Split Transactions</t>
  </si>
  <si>
    <t>Giving a value "Y" in cell E39 will cause the output QIF to use one split transaction for each line in sheet "Receipts",  instead of multiple transactions</t>
  </si>
  <si>
    <t>V 4.0.  31 March 2014</t>
  </si>
  <si>
    <t>If an account is given in column G (rows 22 to 36) against a corresponding Income account in column E , the Income account will be treated as a auction, or sale.  The donation component is the amount paid - the FMV of the item purchased.  This account (the account in column G) has to be available in column E</t>
  </si>
  <si>
    <t>Account Types - for the drop down in Receipts sheet, column G</t>
  </si>
  <si>
    <t xml:space="preserve">One receipts may have more than one contribution to different income types.  While the 'transaction between the church member and the income type' has to be separate, the    'transaction between the member and the cash in hand/bank' account should be one, having the total value of the receipt.  </t>
  </si>
  <si>
    <t>This account string in cell E14 will be Prefixed with all the accounts cells F22 to F36</t>
  </si>
  <si>
    <t>(blank)</t>
  </si>
  <si>
    <t>in my blog</t>
  </si>
  <si>
    <t>Password to unlock this worksheet:</t>
  </si>
  <si>
    <t xml:space="preserve">Password to See vba code: </t>
  </si>
  <si>
    <t>abc</t>
  </si>
  <si>
    <t>For Instructions on how to use for your church, or non profit organization</t>
  </si>
  <si>
    <t>please read my blog</t>
  </si>
  <si>
    <t>This was created for the use of St Stephens Mar Thoma Church, Koramangala, Bangalore</t>
  </si>
  <si>
    <t>For Harvest Festival Auction.  Total FMV (Fair Market Value) of Items Purchased</t>
  </si>
  <si>
    <t>Y</t>
  </si>
  <si>
    <t>ER#</t>
  </si>
  <si>
    <t>Title</t>
  </si>
  <si>
    <t>City</t>
  </si>
  <si>
    <t>State</t>
  </si>
  <si>
    <t>Postal Code</t>
  </si>
  <si>
    <t>Alice Bryant</t>
  </si>
  <si>
    <t>Rev</t>
  </si>
  <si>
    <t>82-2179315</t>
  </si>
  <si>
    <t>3 Kim Street</t>
  </si>
  <si>
    <t>Primero de Mayo</t>
  </si>
  <si>
    <t>Veracruz Llave</t>
  </si>
  <si>
    <t>52-(506)175-2363</t>
  </si>
  <si>
    <t>374-(497)400-5276</t>
  </si>
  <si>
    <t>abryant0@ca.gov</t>
  </si>
  <si>
    <t>Emily Ryan</t>
  </si>
  <si>
    <t>05-7495308</t>
  </si>
  <si>
    <t>27450 Green Ridge Court</t>
  </si>
  <si>
    <t>Sritanjung</t>
  </si>
  <si>
    <t>62-(773)528-0584</t>
  </si>
  <si>
    <t>57-(984)642-7423</t>
  </si>
  <si>
    <t>eryan1@wp.com</t>
  </si>
  <si>
    <t>Eric Barnes</t>
  </si>
  <si>
    <t>66-0144418</t>
  </si>
  <si>
    <t>7561 Novick Street</t>
  </si>
  <si>
    <t>Cañete</t>
  </si>
  <si>
    <t>56-(110)760-7978</t>
  </si>
  <si>
    <t>62-(931)376-6654</t>
  </si>
  <si>
    <t>ebarnes2@intel.com</t>
  </si>
  <si>
    <t>Kevin Moreno</t>
  </si>
  <si>
    <t>Mr</t>
  </si>
  <si>
    <t>10-9554723</t>
  </si>
  <si>
    <t>738 Monument Place</t>
  </si>
  <si>
    <t>Pryazovs’ke</t>
  </si>
  <si>
    <t>380-(714)885-7625</t>
  </si>
  <si>
    <t>48-(968)596-4633</t>
  </si>
  <si>
    <t>kmoreno3@hugedomains.com</t>
  </si>
  <si>
    <t>Jeffrey Duncan</t>
  </si>
  <si>
    <t>Ms</t>
  </si>
  <si>
    <t>34-6066597</t>
  </si>
  <si>
    <t>38 Gerald Drive</t>
  </si>
  <si>
    <t>Hantsport</t>
  </si>
  <si>
    <t>Nova Scotia</t>
  </si>
  <si>
    <t>N5A</t>
  </si>
  <si>
    <t>1-(625)961-8167</t>
  </si>
  <si>
    <t>86-(615)289-9485</t>
  </si>
  <si>
    <t>jduncan4@stumbleupon.com</t>
  </si>
  <si>
    <t>Alan Kelley</t>
  </si>
  <si>
    <t>Mrs</t>
  </si>
  <si>
    <t>15-1352580</t>
  </si>
  <si>
    <t>60 Maple Wood Lane</t>
  </si>
  <si>
    <t>Melgar</t>
  </si>
  <si>
    <t>57-(473)276-7706</t>
  </si>
  <si>
    <t>7-(201)936-4838</t>
  </si>
  <si>
    <t>akelley5@flickr.com</t>
  </si>
  <si>
    <t>Karen Morris</t>
  </si>
  <si>
    <t>Honorable</t>
  </si>
  <si>
    <t>96-6840963</t>
  </si>
  <si>
    <t>57 Express Terrace</t>
  </si>
  <si>
    <t>Pulau Pinang</t>
  </si>
  <si>
    <t>60-(652)425-1788</t>
  </si>
  <si>
    <t>380-(144)527-8648</t>
  </si>
  <si>
    <t>kmorris6@nsw.gov.au</t>
  </si>
  <si>
    <t>Jack Murray</t>
  </si>
  <si>
    <t>68-5244667</t>
  </si>
  <si>
    <t>2 Delladonna Road</t>
  </si>
  <si>
    <t>Bianzhuang</t>
  </si>
  <si>
    <t>86-(236)853-7174</t>
  </si>
  <si>
    <t>66-(353)548-6320</t>
  </si>
  <si>
    <t>jmurray7@g.co</t>
  </si>
  <si>
    <t>Phyllis Bell</t>
  </si>
  <si>
    <t>11-8926103</t>
  </si>
  <si>
    <t>36647 Sullivan Place</t>
  </si>
  <si>
    <t>Bovec</t>
  </si>
  <si>
    <t>386-(285)776-0064</t>
  </si>
  <si>
    <t>7-(164)696-4952</t>
  </si>
  <si>
    <t>pbell8@comcast.net</t>
  </si>
  <si>
    <t>Jacqueline Gordon</t>
  </si>
  <si>
    <t>13-0167480</t>
  </si>
  <si>
    <t>01 Bellgrove Crossing</t>
  </si>
  <si>
    <t>Kawm Umbū</t>
  </si>
  <si>
    <t>20-(575)234-2706</t>
  </si>
  <si>
    <t>86-(633)510-3822</t>
  </si>
  <si>
    <t>jgordon9@ycombinator.com</t>
  </si>
  <si>
    <t>Carl Frazier</t>
  </si>
  <si>
    <t>83-0170204</t>
  </si>
  <si>
    <t>4 Doe Crossing Place</t>
  </si>
  <si>
    <t>Barra de São Francisco</t>
  </si>
  <si>
    <t>29800-000</t>
  </si>
  <si>
    <t>55-(289)277-9776</t>
  </si>
  <si>
    <t>374-(905)746-4052</t>
  </si>
  <si>
    <t>cfraziera@deviantart.com</t>
  </si>
  <si>
    <t>Gerald Russell</t>
  </si>
  <si>
    <t>66-1164154</t>
  </si>
  <si>
    <t>69 Thierer Pass</t>
  </si>
  <si>
    <t>Yeghvard</t>
  </si>
  <si>
    <t>374-(359)970-6583</t>
  </si>
  <si>
    <t>63-(402)499-0318</t>
  </si>
  <si>
    <t>grussellb@fastcompany.com</t>
  </si>
  <si>
    <t>Benjamin Wells</t>
  </si>
  <si>
    <t>82-3254288</t>
  </si>
  <si>
    <t>71 South Court</t>
  </si>
  <si>
    <t>Mahébourg</t>
  </si>
  <si>
    <t>230-(510)543-5326</t>
  </si>
  <si>
    <t>232-(374)180-9332</t>
  </si>
  <si>
    <t>bwellsc@reddit.com</t>
  </si>
  <si>
    <t>Donna Wheeler</t>
  </si>
  <si>
    <t>06-0533587</t>
  </si>
  <si>
    <t>7289 Shasta Pass</t>
  </si>
  <si>
    <t>Kuroda</t>
  </si>
  <si>
    <t>958-0224</t>
  </si>
  <si>
    <t>81-(351)173-9610</t>
  </si>
  <si>
    <t>591-(260)488-8134</t>
  </si>
  <si>
    <t>dwheelerd@g.co</t>
  </si>
  <si>
    <t>Emily Bennett</t>
  </si>
  <si>
    <t>62-1054928</t>
  </si>
  <si>
    <t>54 Hudson Hill</t>
  </si>
  <si>
    <t>Pinara</t>
  </si>
  <si>
    <t>62-(425)305-6065</t>
  </si>
  <si>
    <t>62-(607)967-4184</t>
  </si>
  <si>
    <t>ebennette@mapy.cz</t>
  </si>
  <si>
    <t>Richard Shaw</t>
  </si>
  <si>
    <t>92-1980513</t>
  </si>
  <si>
    <t>64610 Lawn Junction</t>
  </si>
  <si>
    <t>Labège</t>
  </si>
  <si>
    <t>Midi-Pyrénées</t>
  </si>
  <si>
    <t>31673 CEDEX</t>
  </si>
  <si>
    <t>33-(777)919-7693</t>
  </si>
  <si>
    <t>48-(997)199-8998</t>
  </si>
  <si>
    <t>rshawf@constantcontact.com</t>
  </si>
  <si>
    <t>Pamela Lynch</t>
  </si>
  <si>
    <t>67-4253670</t>
  </si>
  <si>
    <t>8 Almo Hill</t>
  </si>
  <si>
    <t>Garešnica</t>
  </si>
  <si>
    <t>385-(678)793-1906</t>
  </si>
  <si>
    <t>62-(935)462-6212</t>
  </si>
  <si>
    <t>plynchg@salon.com</t>
  </si>
  <si>
    <t>Steve Reyes</t>
  </si>
  <si>
    <t>41-5704642</t>
  </si>
  <si>
    <t>14034 Bobwhite Parkway</t>
  </si>
  <si>
    <t>Zhubei</t>
  </si>
  <si>
    <t>886-(512)397-6638</t>
  </si>
  <si>
    <t>54-(160)564-1212</t>
  </si>
  <si>
    <t>sreyesh@pcworld.com</t>
  </si>
  <si>
    <t>Rose Lynch</t>
  </si>
  <si>
    <t>02-4846490</t>
  </si>
  <si>
    <t>18 7th Junction</t>
  </si>
  <si>
    <t>Pršovce</t>
  </si>
  <si>
    <t>389-(542)348-0488</t>
  </si>
  <si>
    <t>51-(229)918-4609</t>
  </si>
  <si>
    <t>rlynchi@cbc.ca</t>
  </si>
  <si>
    <t>Christopher Parker</t>
  </si>
  <si>
    <t>Dr</t>
  </si>
  <si>
    <t>56-3722829</t>
  </si>
  <si>
    <t>599 Elgar Alley</t>
  </si>
  <si>
    <t>Angkahgede</t>
  </si>
  <si>
    <t>62-(664)443-2344</t>
  </si>
  <si>
    <t>504-(490)128-9644</t>
  </si>
  <si>
    <t>cparkerj@theglobeandmail.com</t>
  </si>
  <si>
    <t>Walter Martinez</t>
  </si>
  <si>
    <t>84-0896572</t>
  </si>
  <si>
    <t>64 Ridgeview Street</t>
  </si>
  <si>
    <t>Aranguren</t>
  </si>
  <si>
    <t>54-(568)570-9306</t>
  </si>
  <si>
    <t>62-(595)451-2559</t>
  </si>
  <si>
    <t>wmartinezk@redcross.org</t>
  </si>
  <si>
    <t>Dennis Howell</t>
  </si>
  <si>
    <t>14-7481082</t>
  </si>
  <si>
    <t>51 Lillian Way</t>
  </si>
  <si>
    <t>Shanglian</t>
  </si>
  <si>
    <t>86-(586)869-7718</t>
  </si>
  <si>
    <t>60-(529)922-8558</t>
  </si>
  <si>
    <t>dhowelll@multiply.com</t>
  </si>
  <si>
    <t>Dorothy Edwards</t>
  </si>
  <si>
    <t>22-6046390</t>
  </si>
  <si>
    <t>Lakeland</t>
  </si>
  <si>
    <t>539 Dottie Circle</t>
  </si>
  <si>
    <t>Kazanskoye</t>
  </si>
  <si>
    <t>7-(420)275-3285</t>
  </si>
  <si>
    <t>62-(188)849-8246</t>
  </si>
  <si>
    <t>dedwardsm@yandex.ru</t>
  </si>
  <si>
    <t>Maria Stone</t>
  </si>
  <si>
    <t>00-1571018</t>
  </si>
  <si>
    <t>66514 Ryan Center</t>
  </si>
  <si>
    <t>Gravataí</t>
  </si>
  <si>
    <t>94000-000</t>
  </si>
  <si>
    <t>55-(844)190-9830</t>
  </si>
  <si>
    <t>57-(581)332-2634</t>
  </si>
  <si>
    <t>mstonen@businessinsider.com</t>
  </si>
  <si>
    <t>Margaret Gutierrez</t>
  </si>
  <si>
    <t>57-0265174</t>
  </si>
  <si>
    <t>323 Calypso Trail</t>
  </si>
  <si>
    <t>Florida</t>
  </si>
  <si>
    <t>1-(863)328-9693</t>
  </si>
  <si>
    <t>385-(201)275-0134</t>
  </si>
  <si>
    <t>mgutierrezo@diigo.com</t>
  </si>
  <si>
    <t>Katherine Fowler</t>
  </si>
  <si>
    <t>74-7764752</t>
  </si>
  <si>
    <t>0 Fair Oaks Alley</t>
  </si>
  <si>
    <t>Yeri</t>
  </si>
  <si>
    <t>357-(438)870-3174</t>
  </si>
  <si>
    <t>385-(179)650-8401</t>
  </si>
  <si>
    <t>kfowlerp@state.gov</t>
  </si>
  <si>
    <t>Kelly Romero</t>
  </si>
  <si>
    <t>67-5492899</t>
  </si>
  <si>
    <t>4 Hauk Place</t>
  </si>
  <si>
    <t>Niihama</t>
  </si>
  <si>
    <t>595-0814</t>
  </si>
  <si>
    <t>81-(719)840-9984</t>
  </si>
  <si>
    <t>86-(417)670-1005</t>
  </si>
  <si>
    <t>kromeroq@google.it</t>
  </si>
  <si>
    <t>Peter Riley</t>
  </si>
  <si>
    <t>10-3591802</t>
  </si>
  <si>
    <t>9 David Avenue</t>
  </si>
  <si>
    <t>Baie-Saint-Paul</t>
  </si>
  <si>
    <t>Québec</t>
  </si>
  <si>
    <t>G3Z</t>
  </si>
  <si>
    <t>1-(769)115-2178</t>
  </si>
  <si>
    <t>1-(568)631-9276</t>
  </si>
  <si>
    <t>prileyr@addthis.com</t>
  </si>
  <si>
    <t>Willie Chavez</t>
  </si>
  <si>
    <t>60-1345354</t>
  </si>
  <si>
    <t>2 Maple Plaza</t>
  </si>
  <si>
    <t>Addiet Canna</t>
  </si>
  <si>
    <t>251-(453)998-9018</t>
  </si>
  <si>
    <t>966-(271)967-5272</t>
  </si>
  <si>
    <t>wchavezs@deviantart.com</t>
  </si>
  <si>
    <t>Terry Fernandez</t>
  </si>
  <si>
    <t>90-1426008</t>
  </si>
  <si>
    <t>262 Hauk Pass</t>
  </si>
  <si>
    <t>Tsurusaki</t>
  </si>
  <si>
    <t>870-0106</t>
  </si>
  <si>
    <t>81-(159)392-5353</t>
  </si>
  <si>
    <t>226-(593)236-9777</t>
  </si>
  <si>
    <t>tfernandezt@umich.edu</t>
  </si>
  <si>
    <t>Gloria Bryant</t>
  </si>
  <si>
    <t>30-1863837</t>
  </si>
  <si>
    <t>7626 Upham Court</t>
  </si>
  <si>
    <t>Santa Fe</t>
  </si>
  <si>
    <t>New Mexico</t>
  </si>
  <si>
    <t>1-(505)493-1044</t>
  </si>
  <si>
    <t>46-(995)687-4808</t>
  </si>
  <si>
    <t>gbryantu@ucsd.edu</t>
  </si>
  <si>
    <t>Helen Carpenter</t>
  </si>
  <si>
    <t>15-5703166</t>
  </si>
  <si>
    <t>27510 Morning Pass</t>
  </si>
  <si>
    <t>Jindaoxia</t>
  </si>
  <si>
    <t>86-(122)445-3119</t>
  </si>
  <si>
    <t>7-(891)409-4335</t>
  </si>
  <si>
    <t>hcarpenterv@netlog.com</t>
  </si>
  <si>
    <t>Sara Morrison</t>
  </si>
  <si>
    <t>63-1991714</t>
  </si>
  <si>
    <t>8640 Bluejay Terrace</t>
  </si>
  <si>
    <t>Ngembak</t>
  </si>
  <si>
    <t>62-(917)704-4992</t>
  </si>
  <si>
    <t>60-(520)773-9206</t>
  </si>
  <si>
    <t>smorrisonw@naver.com</t>
  </si>
  <si>
    <t>Susan Bennett</t>
  </si>
  <si>
    <t>50-9035996</t>
  </si>
  <si>
    <t>166 Buena Vista Hill</t>
  </si>
  <si>
    <t>Ntoum</t>
  </si>
  <si>
    <t>241-(164)904-9514</t>
  </si>
  <si>
    <t>30-(772)296-5455</t>
  </si>
  <si>
    <t>sbennettx@vinaora.com</t>
  </si>
  <si>
    <t>Clarence Wilson</t>
  </si>
  <si>
    <t>96-9808378</t>
  </si>
  <si>
    <t>6853 Kings Road</t>
  </si>
  <si>
    <t>Detik Satu</t>
  </si>
  <si>
    <t>62-(616)426-1037</t>
  </si>
  <si>
    <t>63-(518)173-6090</t>
  </si>
  <si>
    <t>cwilsony@google.it</t>
  </si>
  <si>
    <t>Mark Garcia</t>
  </si>
  <si>
    <t>64-0416476</t>
  </si>
  <si>
    <t>7 Mayfield Lane</t>
  </si>
  <si>
    <t>Salima</t>
  </si>
  <si>
    <t>265-(151)957-5682</t>
  </si>
  <si>
    <t>55-(618)821-3850</t>
  </si>
  <si>
    <t>mgarciaz@xinhuanet.com</t>
  </si>
  <si>
    <t>Kathy Willis</t>
  </si>
  <si>
    <t>39-0004315</t>
  </si>
  <si>
    <t>3920 Nobel Center</t>
  </si>
  <si>
    <t>Huangtukuang</t>
  </si>
  <si>
    <t>86-(250)383-7030</t>
  </si>
  <si>
    <t>56-(463)552-2120</t>
  </si>
  <si>
    <t>kwillis10@about.me</t>
  </si>
  <si>
    <t>Amy Brooks</t>
  </si>
  <si>
    <t>10-1735785</t>
  </si>
  <si>
    <t>81161 Canary Alley</t>
  </si>
  <si>
    <t>Kalian</t>
  </si>
  <si>
    <t>63-(654)615-7340</t>
  </si>
  <si>
    <t>1-(360)649-1554</t>
  </si>
  <si>
    <t>abrooks11@networksolutions.com</t>
  </si>
  <si>
    <t>Adam Ortiz</t>
  </si>
  <si>
    <t>11-6568500</t>
  </si>
  <si>
    <t>35 Mockingbird Point</t>
  </si>
  <si>
    <t>Huangcun</t>
  </si>
  <si>
    <t>86-(488)790-5525</t>
  </si>
  <si>
    <t>359-(503)479-0279</t>
  </si>
  <si>
    <t>aortiz12@miitbeian.gov.cn</t>
  </si>
  <si>
    <t>Patricia Bradley</t>
  </si>
  <si>
    <t>25-0459522</t>
  </si>
  <si>
    <t>0 Canary Street</t>
  </si>
  <si>
    <t>Laascaanood</t>
  </si>
  <si>
    <t>252-(430)175-4224</t>
  </si>
  <si>
    <t>62-(458)562-6847</t>
  </si>
  <si>
    <t>pbradley13@angelfire.com</t>
  </si>
  <si>
    <t>Anthony Lawson</t>
  </si>
  <si>
    <t>60-8780709</t>
  </si>
  <si>
    <t>096 Di Loreto Court</t>
  </si>
  <si>
    <t>Licupis</t>
  </si>
  <si>
    <t>51-(158)322-4119</t>
  </si>
  <si>
    <t>55-(114)828-5941</t>
  </si>
  <si>
    <t>alawson14@census.gov</t>
  </si>
  <si>
    <t>Phillip Sims</t>
  </si>
  <si>
    <t>15-8732023</t>
  </si>
  <si>
    <t>22769 Autumn Leaf Way</t>
  </si>
  <si>
    <t>Pendolo</t>
  </si>
  <si>
    <t>62-(231)613-9768</t>
  </si>
  <si>
    <t>93-(913)579-6516</t>
  </si>
  <si>
    <t>psims15@tmall.com</t>
  </si>
  <si>
    <t>Henry Hughes</t>
  </si>
  <si>
    <t>42-6077073</t>
  </si>
  <si>
    <t>38 Meadow Valley Point</t>
  </si>
  <si>
    <t>Horní Suchá</t>
  </si>
  <si>
    <t>735 35</t>
  </si>
  <si>
    <t>420-(313)879-7219</t>
  </si>
  <si>
    <t>86-(242)343-2301</t>
  </si>
  <si>
    <t>hhughes16@smh.com.au</t>
  </si>
  <si>
    <t>William Woods</t>
  </si>
  <si>
    <t>75-9765993</t>
  </si>
  <si>
    <t>54 Boyd Place</t>
  </si>
  <si>
    <t>Lingzhi</t>
  </si>
  <si>
    <t>86-(290)326-1511</t>
  </si>
  <si>
    <t>47-(433)946-9317</t>
  </si>
  <si>
    <t>wwoods17@sciencedirect.com</t>
  </si>
  <si>
    <t>Janice Jenkins</t>
  </si>
  <si>
    <t>54-2931611</t>
  </si>
  <si>
    <t>516 Eastwood Circle</t>
  </si>
  <si>
    <t>Vetrino</t>
  </si>
  <si>
    <t>359-(933)943-1589</t>
  </si>
  <si>
    <t>57-(346)239-8687</t>
  </si>
  <si>
    <t>jjenkins18@seesaa.net</t>
  </si>
  <si>
    <t>Susan Washington</t>
  </si>
  <si>
    <t>17-0961744</t>
  </si>
  <si>
    <t>418 Meadow Ridge Drive</t>
  </si>
  <si>
    <t>Goseong</t>
  </si>
  <si>
    <t>82-(400)620-5883</t>
  </si>
  <si>
    <t>298-(423)336-7721</t>
  </si>
  <si>
    <t>swashington19@skyrock.com</t>
  </si>
  <si>
    <t>Samuel West</t>
  </si>
  <si>
    <t>49-7323456</t>
  </si>
  <si>
    <t>97 Reinke Way</t>
  </si>
  <si>
    <t>Antas</t>
  </si>
  <si>
    <t>Lisboa</t>
  </si>
  <si>
    <t>2630-224</t>
  </si>
  <si>
    <t>351-(516)745-5081</t>
  </si>
  <si>
    <t>967-(254)726-7910</t>
  </si>
  <si>
    <t>swest1a@biglobe.ne.jp</t>
  </si>
  <si>
    <t>Joyce Wallace</t>
  </si>
  <si>
    <t>66-6617703</t>
  </si>
  <si>
    <t>06 Boyd Pass</t>
  </si>
  <si>
    <t>San Simon</t>
  </si>
  <si>
    <t>63-(478)953-0143</t>
  </si>
  <si>
    <t>254-(305)653-5355</t>
  </si>
  <si>
    <t>jwallace1b@photobucket.com</t>
  </si>
  <si>
    <t>Frank Weaver</t>
  </si>
  <si>
    <t>88-5921238</t>
  </si>
  <si>
    <t>1164 Prairieview Place</t>
  </si>
  <si>
    <t>Tabuating</t>
  </si>
  <si>
    <t>63-(241)390-2249</t>
  </si>
  <si>
    <t>86-(769)771-7025</t>
  </si>
  <si>
    <t>fweaver1c@example.com</t>
  </si>
  <si>
    <t>Andrew Sanders</t>
  </si>
  <si>
    <t>41-5518035</t>
  </si>
  <si>
    <t>5 Anderson Place</t>
  </si>
  <si>
    <t>Veselí nad Lužnicí</t>
  </si>
  <si>
    <t>392 01</t>
  </si>
  <si>
    <t>420-(901)964-5081</t>
  </si>
  <si>
    <t>261-(143)945-0200</t>
  </si>
  <si>
    <t>asanders1d@imdb.com</t>
  </si>
  <si>
    <t>Sarah Gardner</t>
  </si>
  <si>
    <t>08-9635398</t>
  </si>
  <si>
    <t>46 Ridgeview Parkway</t>
  </si>
  <si>
    <t>Jombang</t>
  </si>
  <si>
    <t>62-(587)117-4945</t>
  </si>
  <si>
    <t>358-(602)258-7804</t>
  </si>
  <si>
    <t>sgardner1e@sitemeter.com</t>
  </si>
  <si>
    <t>Joseph King</t>
  </si>
  <si>
    <t>94-6459288</t>
  </si>
  <si>
    <t>60307 Golf Course Junction</t>
  </si>
  <si>
    <t>Changgucheng</t>
  </si>
  <si>
    <t>86-(836)492-3164</t>
  </si>
  <si>
    <t>86-(333)454-6625</t>
  </si>
  <si>
    <t>jking1f@networksolutions.com</t>
  </si>
  <si>
    <t>William Burke</t>
  </si>
  <si>
    <t>57-3128144</t>
  </si>
  <si>
    <t>00 Farragut Point</t>
  </si>
  <si>
    <t>Vrbno pod Pradědem</t>
  </si>
  <si>
    <t>793 26</t>
  </si>
  <si>
    <t>420-(941)210-8944</t>
  </si>
  <si>
    <t>380-(202)341-5635</t>
  </si>
  <si>
    <t>wburke1g@intel.com</t>
  </si>
  <si>
    <t>Jerry Bryant</t>
  </si>
  <si>
    <t>17-4663698</t>
  </si>
  <si>
    <t>35738 Bultman Point</t>
  </si>
  <si>
    <t>Češinovo</t>
  </si>
  <si>
    <t>389-(659)936-8115</t>
  </si>
  <si>
    <t>62-(476)781-5020</t>
  </si>
  <si>
    <t>jbryant1h@springer.com</t>
  </si>
  <si>
    <t>Douglas Harrison</t>
  </si>
  <si>
    <t>03-4042559</t>
  </si>
  <si>
    <t>711 Aberg Hill</t>
  </si>
  <si>
    <t>Roa</t>
  </si>
  <si>
    <t>62-(112)672-8158</t>
  </si>
  <si>
    <t>62-(452)558-4152</t>
  </si>
  <si>
    <t>dharrison1i@smugmug.com</t>
  </si>
  <si>
    <t>Jeremy Alexander</t>
  </si>
  <si>
    <t>18-7017101</t>
  </si>
  <si>
    <t>4473 Pond Hill</t>
  </si>
  <si>
    <t>Da’an</t>
  </si>
  <si>
    <t>86-(681)159-3217</t>
  </si>
  <si>
    <t>351-(701)987-7386</t>
  </si>
  <si>
    <t>jalexander1j@howstuffworks.com</t>
  </si>
  <si>
    <t>Margaret Gonzales</t>
  </si>
  <si>
    <t>33-0427207</t>
  </si>
  <si>
    <t>47 Hanover Hill</t>
  </si>
  <si>
    <t>Bernardo de Irigoyen</t>
  </si>
  <si>
    <t>54-(135)492-2926</t>
  </si>
  <si>
    <t>676-(424)355-9005</t>
  </si>
  <si>
    <t>mgonzales1k@toplist.cz</t>
  </si>
  <si>
    <t>Judith Long</t>
  </si>
  <si>
    <t>38-5148731</t>
  </si>
  <si>
    <t>73 Riverside Circle</t>
  </si>
  <si>
    <t>Wongka</t>
  </si>
  <si>
    <t>62-(801)276-6359</t>
  </si>
  <si>
    <t>972-(232)422-0112</t>
  </si>
  <si>
    <t>jlong1l@nba.com</t>
  </si>
  <si>
    <t>Eric Day</t>
  </si>
  <si>
    <t>21-9542307</t>
  </si>
  <si>
    <t>87 Graceland Junction</t>
  </si>
  <si>
    <t>Reshetikha</t>
  </si>
  <si>
    <t>7-(853)428-0316</t>
  </si>
  <si>
    <t>81-(359)135-7552</t>
  </si>
  <si>
    <t>eday1m@archive.org</t>
  </si>
  <si>
    <t>Tammy Fox</t>
  </si>
  <si>
    <t>50-7418135</t>
  </si>
  <si>
    <t>69 Nova Court</t>
  </si>
  <si>
    <t>Beaverton</t>
  </si>
  <si>
    <t>Oregon</t>
  </si>
  <si>
    <t>1-(503)323-9173</t>
  </si>
  <si>
    <t>1-(277)435-2378</t>
  </si>
  <si>
    <t>tfox1n@soup.io</t>
  </si>
  <si>
    <t>Paul Bowman</t>
  </si>
  <si>
    <t>73-2081520</t>
  </si>
  <si>
    <t>3542 Pennsylvania Parkway</t>
  </si>
  <si>
    <t>Maydolong</t>
  </si>
  <si>
    <t>63-(329)910-2690</t>
  </si>
  <si>
    <t>420-(570)892-1304</t>
  </si>
  <si>
    <t>pbowman1o@goo.ne.jp</t>
  </si>
  <si>
    <t>Virginia Gonzalez</t>
  </si>
  <si>
    <t>28-6131373</t>
  </si>
  <si>
    <t>80679 Harbort Parkway</t>
  </si>
  <si>
    <t>Dolní Lhota</t>
  </si>
  <si>
    <t>747 66</t>
  </si>
  <si>
    <t>420-(619)760-4143</t>
  </si>
  <si>
    <t>7-(902)680-2705</t>
  </si>
  <si>
    <t>vgonzalez1p@usgs.gov</t>
  </si>
  <si>
    <t>Jessica Pierce</t>
  </si>
  <si>
    <t>07-4402624</t>
  </si>
  <si>
    <t>28 Myrtle Trail</t>
  </si>
  <si>
    <t>Lago da Pedra</t>
  </si>
  <si>
    <t>65715-000</t>
  </si>
  <si>
    <t>55-(608)360-4613</t>
  </si>
  <si>
    <t>1-(317)838-5070</t>
  </si>
  <si>
    <t>jpierce1q@samsung.com</t>
  </si>
  <si>
    <t>Maria Tucker</t>
  </si>
  <si>
    <t>65-6272156</t>
  </si>
  <si>
    <t>3948 Jay Circle</t>
  </si>
  <si>
    <t>Astara</t>
  </si>
  <si>
    <t>994-(540)205-8209</t>
  </si>
  <si>
    <t>351-(296)842-5231</t>
  </si>
  <si>
    <t>mtucker1r@youku.com</t>
  </si>
  <si>
    <t>Shirley Cox</t>
  </si>
  <si>
    <t>02-6994542</t>
  </si>
  <si>
    <t>732 Meadow Vale Lane</t>
  </si>
  <si>
    <t>Villa Hayes</t>
  </si>
  <si>
    <t>595-(410)891-3000</t>
  </si>
  <si>
    <t>86-(667)804-9998</t>
  </si>
  <si>
    <t>scox1s@gravatar.com</t>
  </si>
  <si>
    <t>Antonio Barnes</t>
  </si>
  <si>
    <t>88-1352473</t>
  </si>
  <si>
    <t>8239 Knutson Plaza</t>
  </si>
  <si>
    <t>Changping</t>
  </si>
  <si>
    <t>86-(688)621-5843</t>
  </si>
  <si>
    <t>86-(857)467-2537</t>
  </si>
  <si>
    <t>abarnes1t@bloglovin.com</t>
  </si>
  <si>
    <t>Howard Rose</t>
  </si>
  <si>
    <t>84-7378754</t>
  </si>
  <si>
    <t>68718 Burning Wood Way</t>
  </si>
  <si>
    <t>Xiaoyangqi</t>
  </si>
  <si>
    <t>86-(472)600-9909</t>
  </si>
  <si>
    <t>86-(917)331-9722</t>
  </si>
  <si>
    <t>hrose1u@xrea.com</t>
  </si>
  <si>
    <t>Rachel Olson</t>
  </si>
  <si>
    <t>21-1866158</t>
  </si>
  <si>
    <t>0140 Lindbergh Terrace</t>
  </si>
  <si>
    <t>Xiachen</t>
  </si>
  <si>
    <t>86-(453)737-4652</t>
  </si>
  <si>
    <t>81-(365)287-1658</t>
  </si>
  <si>
    <t>rolson1v@admin.ch</t>
  </si>
  <si>
    <t>Jerry Mccoy</t>
  </si>
  <si>
    <t>65-5983262</t>
  </si>
  <si>
    <t>73 Hauk Road</t>
  </si>
  <si>
    <t>Kingsport</t>
  </si>
  <si>
    <t>Tennessee</t>
  </si>
  <si>
    <t>1-(423)992-6472</t>
  </si>
  <si>
    <t>1-(121)313-7766</t>
  </si>
  <si>
    <t>jmccoy1w@cnn.com</t>
  </si>
  <si>
    <t>Daniel Richards</t>
  </si>
  <si>
    <t>83-4269324</t>
  </si>
  <si>
    <t>01 Truax Terrace</t>
  </si>
  <si>
    <t>Krumvíř</t>
  </si>
  <si>
    <t>691 73</t>
  </si>
  <si>
    <t>420-(528)334-4633</t>
  </si>
  <si>
    <t>593-(460)777-2805</t>
  </si>
  <si>
    <t>drichards1x@shareasale.com</t>
  </si>
  <si>
    <t>Julie Sullivan</t>
  </si>
  <si>
    <t>72-1301892</t>
  </si>
  <si>
    <t>7 High Crossing Point</t>
  </si>
  <si>
    <t>Stenungsund</t>
  </si>
  <si>
    <t>Västra Götaland</t>
  </si>
  <si>
    <t>444 24</t>
  </si>
  <si>
    <t>46-(677)754-9127</t>
  </si>
  <si>
    <t>62-(834)919-7427</t>
  </si>
  <si>
    <t>jsullivan1y@mtv.com</t>
  </si>
  <si>
    <t>Irene Henderson</t>
  </si>
  <si>
    <t>79-3169655</t>
  </si>
  <si>
    <t>97 Rieder Point</t>
  </si>
  <si>
    <t>Ipameri</t>
  </si>
  <si>
    <t>75780-000</t>
  </si>
  <si>
    <t>55-(995)691-3771</t>
  </si>
  <si>
    <t>63-(561)976-3541</t>
  </si>
  <si>
    <t>ihenderson1z@typepad.com</t>
  </si>
  <si>
    <t>Eugene Chapman</t>
  </si>
  <si>
    <t>80-6677651</t>
  </si>
  <si>
    <t>96 Katie Parkway</t>
  </si>
  <si>
    <t>Novotroitsk</t>
  </si>
  <si>
    <t>7-(114)877-2389</t>
  </si>
  <si>
    <t>86-(278)416-8464</t>
  </si>
  <si>
    <t>echapman20@examiner.com</t>
  </si>
  <si>
    <t>Kathleen Simpson</t>
  </si>
  <si>
    <t>86-8411995</t>
  </si>
  <si>
    <t>55694 Roth Trail</t>
  </si>
  <si>
    <t>Borjomi</t>
  </si>
  <si>
    <t>995-(590)559-2437</t>
  </si>
  <si>
    <t>86-(949)917-7291</t>
  </si>
  <si>
    <t>ksimpson21@topsy.com</t>
  </si>
  <si>
    <t>Phillip Bowman</t>
  </si>
  <si>
    <t>59-2095758</t>
  </si>
  <si>
    <t>7 Drewry Way</t>
  </si>
  <si>
    <t>Sölvesborg</t>
  </si>
  <si>
    <t>Blekinge</t>
  </si>
  <si>
    <t>294 21</t>
  </si>
  <si>
    <t>46-(626)903-0270</t>
  </si>
  <si>
    <t>57-(945)879-2470</t>
  </si>
  <si>
    <t>pbowman22@google.co.jp</t>
  </si>
  <si>
    <t>Sean Lynch</t>
  </si>
  <si>
    <t>04-1035038</t>
  </si>
  <si>
    <t>4575 Division Lane</t>
  </si>
  <si>
    <t>Kupang</t>
  </si>
  <si>
    <t>62-(112)154-1314</t>
  </si>
  <si>
    <t>62-(345)854-9358</t>
  </si>
  <si>
    <t>slynch23@is.gd</t>
  </si>
  <si>
    <t>Jason Simmons</t>
  </si>
  <si>
    <t>70-7987298</t>
  </si>
  <si>
    <t>83 5th Crossing</t>
  </si>
  <si>
    <t>Matingain</t>
  </si>
  <si>
    <t>63-(711)487-9448</t>
  </si>
  <si>
    <t>81-(548)177-0714</t>
  </si>
  <si>
    <t>jsimmons24@blogs.com</t>
  </si>
  <si>
    <t>Jerry Montgomery</t>
  </si>
  <si>
    <t>07-3381586</t>
  </si>
  <si>
    <t>2 North Junction</t>
  </si>
  <si>
    <t>Orvault</t>
  </si>
  <si>
    <t>Pays de la Loire</t>
  </si>
  <si>
    <t>44706 CEDEX</t>
  </si>
  <si>
    <t>33-(844)230-3385</t>
  </si>
  <si>
    <t>27-(898)998-7888</t>
  </si>
  <si>
    <t>jmontgomery25@zdnet.com</t>
  </si>
  <si>
    <t>Chris Peters</t>
  </si>
  <si>
    <t>60-4072629</t>
  </si>
  <si>
    <t>1 Corry Court</t>
  </si>
  <si>
    <t>Takengon</t>
  </si>
  <si>
    <t>62-(371)752-2840</t>
  </si>
  <si>
    <t>351-(460)148-4673</t>
  </si>
  <si>
    <t>cpeters26@nba.com</t>
  </si>
  <si>
    <t>Ruby Chapman</t>
  </si>
  <si>
    <t>68-9907369</t>
  </si>
  <si>
    <t>7037 Nova Circle</t>
  </si>
  <si>
    <t>Thulamahashi</t>
  </si>
  <si>
    <t>27-(364)279-1799</t>
  </si>
  <si>
    <t>48-(879)350-9160</t>
  </si>
  <si>
    <t>rchapman27@icq.com</t>
  </si>
  <si>
    <t>Ashley Wagner</t>
  </si>
  <si>
    <t>17-0990744</t>
  </si>
  <si>
    <t>4660 Blue Bill Park Avenue</t>
  </si>
  <si>
    <t>Lephalale</t>
  </si>
  <si>
    <t>27-(820)930-9799</t>
  </si>
  <si>
    <t>81-(734)314-8503</t>
  </si>
  <si>
    <t>awagner28@google.cn</t>
  </si>
  <si>
    <t>Craig Moore</t>
  </si>
  <si>
    <t>76-6839471</t>
  </si>
  <si>
    <t>0 Nelson Plaza</t>
  </si>
  <si>
    <t>Ngrambitan</t>
  </si>
  <si>
    <t>62-(433)782-2085</t>
  </si>
  <si>
    <t>62-(754)662-2126</t>
  </si>
  <si>
    <t>cmoore29@deliciousdays.com</t>
  </si>
  <si>
    <t>Sharon Mcdonald</t>
  </si>
  <si>
    <t>44-5972082</t>
  </si>
  <si>
    <t>5 Killdeer Crossing</t>
  </si>
  <si>
    <t>Makungu</t>
  </si>
  <si>
    <t>255-(366)266-4590</t>
  </si>
  <si>
    <t>33-(963)138-8205</t>
  </si>
  <si>
    <t>smcdonald2a@altervista.org</t>
  </si>
  <si>
    <t>George Mccoy</t>
  </si>
  <si>
    <t>71-8849277</t>
  </si>
  <si>
    <t>8247 Gateway Park</t>
  </si>
  <si>
    <t>Iłowa</t>
  </si>
  <si>
    <t>68-120</t>
  </si>
  <si>
    <t>48-(928)756-5971</t>
  </si>
  <si>
    <t>375-(818)268-0954</t>
  </si>
  <si>
    <t>gmccoy2b@globo.com</t>
  </si>
  <si>
    <t>Alan Olson</t>
  </si>
  <si>
    <t>27-7568973</t>
  </si>
  <si>
    <t>33 Clarendon Park</t>
  </si>
  <si>
    <t>Senahú</t>
  </si>
  <si>
    <t>502-(755)891-2023</t>
  </si>
  <si>
    <t>234-(191)648-8486</t>
  </si>
  <si>
    <t>aolson2c@economist.com</t>
  </si>
  <si>
    <t>Brian Peterson</t>
  </si>
  <si>
    <t>66-4668640</t>
  </si>
  <si>
    <t>0177 Pond Avenue</t>
  </si>
  <si>
    <t>Yasugichō</t>
  </si>
  <si>
    <t>699-0103</t>
  </si>
  <si>
    <t>81-(235)583-5462</t>
  </si>
  <si>
    <t>7-(274)151-6984</t>
  </si>
  <si>
    <t>bpeterson2d@rediff.com</t>
  </si>
  <si>
    <t>Alice Cooper</t>
  </si>
  <si>
    <t>80-5103957</t>
  </si>
  <si>
    <t>41 Schurz Way</t>
  </si>
  <si>
    <t>Fujishiro</t>
  </si>
  <si>
    <t>642-0034</t>
  </si>
  <si>
    <t>81-(284)783-5933</t>
  </si>
  <si>
    <t>62-(161)345-4475</t>
  </si>
  <si>
    <t>acooper2e@ycombinator.com</t>
  </si>
  <si>
    <t>Jacqueline Carter</t>
  </si>
  <si>
    <t>08-1694992</t>
  </si>
  <si>
    <t>43599 Evergreen Alley</t>
  </si>
  <si>
    <t>Magoúla</t>
  </si>
  <si>
    <t>30-(307)820-9459</t>
  </si>
  <si>
    <t>31-(313)558-4850</t>
  </si>
  <si>
    <t>jcarter2f@nyu.edu</t>
  </si>
  <si>
    <t>Gerald Sanchez</t>
  </si>
  <si>
    <t>89-4932405</t>
  </si>
  <si>
    <t>5 Columbus Junction</t>
  </si>
  <si>
    <t>Oncativo</t>
  </si>
  <si>
    <t>54-(957)110-2965</t>
  </si>
  <si>
    <t>62-(414)482-7903</t>
  </si>
  <si>
    <t>gsanchez2g@washingtonpost.com</t>
  </si>
  <si>
    <t>Aaron Dean</t>
  </si>
  <si>
    <t>62-8443841</t>
  </si>
  <si>
    <t>72306 Bunting Junction</t>
  </si>
  <si>
    <t>San Antonio</t>
  </si>
  <si>
    <t>Puebla</t>
  </si>
  <si>
    <t>52-(512)351-1596</t>
  </si>
  <si>
    <t>261-(676)761-7564</t>
  </si>
  <si>
    <t>adean2h@nytimes.com</t>
  </si>
  <si>
    <t>Laura Phillips</t>
  </si>
  <si>
    <t>17-8856980</t>
  </si>
  <si>
    <t>02113 Stang Terrace</t>
  </si>
  <si>
    <t>Ořechov</t>
  </si>
  <si>
    <t>594 52</t>
  </si>
  <si>
    <t>420-(491)831-4362</t>
  </si>
  <si>
    <t>86-(238)849-7429</t>
  </si>
  <si>
    <t>lphillips2i@bloglovin.com</t>
  </si>
  <si>
    <t>Deborah Hall</t>
  </si>
  <si>
    <t>39-4003858</t>
  </si>
  <si>
    <t>46 Cambridge Hill</t>
  </si>
  <si>
    <t>La Poma</t>
  </si>
  <si>
    <t>54-(353)331-6214</t>
  </si>
  <si>
    <t>86-(776)138-3983</t>
  </si>
  <si>
    <t>dhall2j@chron.com</t>
  </si>
  <si>
    <t>Donna Hawkins</t>
  </si>
  <si>
    <t>42-3592523</t>
  </si>
  <si>
    <t>07 Walton Way</t>
  </si>
  <si>
    <t>Châtillon</t>
  </si>
  <si>
    <t>Île-de-France</t>
  </si>
  <si>
    <t>92324 CEDEX</t>
  </si>
  <si>
    <t>33-(800)317-1818</t>
  </si>
  <si>
    <t>967-(130)860-5679</t>
  </si>
  <si>
    <t>dhawkins2k@netlog.com</t>
  </si>
  <si>
    <t>Amanda Moreno</t>
  </si>
  <si>
    <t>55-5288538</t>
  </si>
  <si>
    <t>30606 Carey Crossing</t>
  </si>
  <si>
    <t>Chekmagush</t>
  </si>
  <si>
    <t>7-(635)835-0195</t>
  </si>
  <si>
    <t>86-(616)670-2045</t>
  </si>
  <si>
    <t>amoreno2l@techcrunch.com</t>
  </si>
  <si>
    <t>Louise Mcdonald</t>
  </si>
  <si>
    <t>62-0458837</t>
  </si>
  <si>
    <t>9310 Northland Terrace</t>
  </si>
  <si>
    <t>Tacoma</t>
  </si>
  <si>
    <t>Washington</t>
  </si>
  <si>
    <t>1-(253)134-5810</t>
  </si>
  <si>
    <t>66-(354)854-8129</t>
  </si>
  <si>
    <t>lmcdonald2m@ovh.net</t>
  </si>
  <si>
    <t>Phillip Rodriguez</t>
  </si>
  <si>
    <t>68-1837704</t>
  </si>
  <si>
    <t>42530 Tennyson Drive</t>
  </si>
  <si>
    <t>Matsue-shi</t>
  </si>
  <si>
    <t>690-1115</t>
  </si>
  <si>
    <t>81-(323)575-9095</t>
  </si>
  <si>
    <t>86-(772)156-7219</t>
  </si>
  <si>
    <t>prodriguez2n@goo.ne.jp</t>
  </si>
  <si>
    <t>Rose Ford</t>
  </si>
  <si>
    <t>56-2363898</t>
  </si>
  <si>
    <t>246 Chive Avenue</t>
  </si>
  <si>
    <t>Inda Silasē</t>
  </si>
  <si>
    <t>251-(754)441-3494</t>
  </si>
  <si>
    <t>30-(675)228-0821</t>
  </si>
  <si>
    <t>rford2o@va.gov</t>
  </si>
  <si>
    <t>Samuel Stone</t>
  </si>
  <si>
    <t>05-2232603</t>
  </si>
  <si>
    <t>08088 Tony Way</t>
  </si>
  <si>
    <t>Klana</t>
  </si>
  <si>
    <t>385-(123)233-0399</t>
  </si>
  <si>
    <t>86-(146)603-8688</t>
  </si>
  <si>
    <t>sstone2p@unesco.org</t>
  </si>
  <si>
    <t>Kenneth Walker</t>
  </si>
  <si>
    <t>80-3871094</t>
  </si>
  <si>
    <t>4955 Sachs Plaza</t>
  </si>
  <si>
    <t>Sano</t>
  </si>
  <si>
    <t>987-2363</t>
  </si>
  <si>
    <t>81-(498)682-5419</t>
  </si>
  <si>
    <t>62-(559)655-7029</t>
  </si>
  <si>
    <t>kwalker2q@prweb.com</t>
  </si>
  <si>
    <t>Steven Walker</t>
  </si>
  <si>
    <t>31-3267101</t>
  </si>
  <si>
    <t>70383 Cascade Plaza</t>
  </si>
  <si>
    <t>Prudentópolis</t>
  </si>
  <si>
    <t>84400-000</t>
  </si>
  <si>
    <t>55-(597)591-1027</t>
  </si>
  <si>
    <t>62-(326)746-6399</t>
  </si>
  <si>
    <t>swalker2r@reuters.com</t>
  </si>
  <si>
    <t>Margaret Thompson</t>
  </si>
  <si>
    <t>61-6024250</t>
  </si>
  <si>
    <t>06313 Thompson Road</t>
  </si>
  <si>
    <t>Świeradów-Zdrój</t>
  </si>
  <si>
    <t>59-852</t>
  </si>
  <si>
    <t>48-(527)714-9647</t>
  </si>
  <si>
    <t>39-(635)335-3978</t>
  </si>
  <si>
    <t>mthompson2s@hexun.com</t>
  </si>
  <si>
    <t>Irene Price</t>
  </si>
  <si>
    <t>00-8775189</t>
  </si>
  <si>
    <t>7845 Spaight Hill</t>
  </si>
  <si>
    <t>Yonezawa</t>
  </si>
  <si>
    <t>946-0054</t>
  </si>
  <si>
    <t>81-(659)757-6765</t>
  </si>
  <si>
    <t>62-(268)854-8265</t>
  </si>
  <si>
    <t>iprice2t@bandcamp.com</t>
  </si>
  <si>
    <t>Irene Day</t>
  </si>
  <si>
    <t>26-4252566</t>
  </si>
  <si>
    <t>7 Village Green Court</t>
  </si>
  <si>
    <t>Nong Muang</t>
  </si>
  <si>
    <t>66-(847)820-0291</t>
  </si>
  <si>
    <t>7-(384)297-2075</t>
  </si>
  <si>
    <t>iday2u@g.co</t>
  </si>
  <si>
    <t>Paul Bailey</t>
  </si>
  <si>
    <t>59-6695718</t>
  </si>
  <si>
    <t>5 Nevada Circle</t>
  </si>
  <si>
    <t>Nivnice</t>
  </si>
  <si>
    <t>687 51</t>
  </si>
  <si>
    <t>420-(944)633-6172</t>
  </si>
  <si>
    <t>62-(703)925-1610</t>
  </si>
  <si>
    <t>pbailey2v@edublogs.org</t>
  </si>
  <si>
    <t>Marilyn Allen</t>
  </si>
  <si>
    <t>52-6179856</t>
  </si>
  <si>
    <t>7 Bunting Way</t>
  </si>
  <si>
    <t>Guerrero</t>
  </si>
  <si>
    <t>52-(921)131-2681</t>
  </si>
  <si>
    <t>62-(494)960-6769</t>
  </si>
  <si>
    <t>mallen2w@last.fm</t>
  </si>
  <si>
    <t>Jeremy West</t>
  </si>
  <si>
    <t>39-3962415</t>
  </si>
  <si>
    <t>83491 New Castle Junction</t>
  </si>
  <si>
    <t>Narok</t>
  </si>
  <si>
    <t>254-(914)119-8138</t>
  </si>
  <si>
    <t>62-(445)843-8998</t>
  </si>
  <si>
    <t>jwest2x@fda.gov</t>
  </si>
  <si>
    <t>Frances Stone</t>
  </si>
  <si>
    <t>54-9667254</t>
  </si>
  <si>
    <t>34032 Forest Dale Road</t>
  </si>
  <si>
    <t>Custóias</t>
  </si>
  <si>
    <t>Guarda</t>
  </si>
  <si>
    <t>5155-104</t>
  </si>
  <si>
    <t>351-(529)233-7576</t>
  </si>
  <si>
    <t>52-(275)105-9924</t>
  </si>
  <si>
    <t>fstone2y@google.com.hk</t>
  </si>
  <si>
    <t>Patricia Pierce</t>
  </si>
  <si>
    <t>53-0387045</t>
  </si>
  <si>
    <t>9 Little Fleur Terrace</t>
  </si>
  <si>
    <t>Xuân Trường</t>
  </si>
  <si>
    <t>84-(868)100-9548</t>
  </si>
  <si>
    <t>380-(233)130-2769</t>
  </si>
  <si>
    <t>ppierce2z@hao123.com</t>
  </si>
  <si>
    <t>Ryan Foster</t>
  </si>
  <si>
    <t>25-6400445</t>
  </si>
  <si>
    <t>16744 North Hill</t>
  </si>
  <si>
    <t>Ciganaria</t>
  </si>
  <si>
    <t>62-(517)208-5081</t>
  </si>
  <si>
    <t>229-(162)459-1126</t>
  </si>
  <si>
    <t>rfoster30@economist.com</t>
  </si>
  <si>
    <t>Gloria Reyes</t>
  </si>
  <si>
    <t>86-0576518</t>
  </si>
  <si>
    <t>6686 Evergreen Lane</t>
  </si>
  <si>
    <t>Mchinji</t>
  </si>
  <si>
    <t>265-(804)458-4487</t>
  </si>
  <si>
    <t>234-(315)528-0570</t>
  </si>
  <si>
    <t>greyes31@gizmodo.com</t>
  </si>
  <si>
    <t>Denise Banks</t>
  </si>
  <si>
    <t>42-7985579</t>
  </si>
  <si>
    <t>57 Mallard Park</t>
  </si>
  <si>
    <t>Liliana</t>
  </si>
  <si>
    <t>62-(595)173-7759</t>
  </si>
  <si>
    <t>387-(898)119-9584</t>
  </si>
  <si>
    <t>dbanks32@nbcnews.com</t>
  </si>
  <si>
    <t>Roy Chapman</t>
  </si>
  <si>
    <t>48-4209883</t>
  </si>
  <si>
    <t>00 Killdeer Terrace</t>
  </si>
  <si>
    <t>Anaráchi</t>
  </si>
  <si>
    <t>30-(642)276-7332</t>
  </si>
  <si>
    <t>62-(487)617-9351</t>
  </si>
  <si>
    <t>rchapman33@is.gd</t>
  </si>
  <si>
    <t>Laura Nichols</t>
  </si>
  <si>
    <t>78-4032913</t>
  </si>
  <si>
    <t>59427 Eliot Road</t>
  </si>
  <si>
    <t>Dong Liang’erzhuang</t>
  </si>
  <si>
    <t>86-(313)264-3035</t>
  </si>
  <si>
    <t>380-(641)397-4289</t>
  </si>
  <si>
    <t>lnichols34@spotify.com</t>
  </si>
  <si>
    <t>Christopher Greene</t>
  </si>
  <si>
    <t>66-6174504</t>
  </si>
  <si>
    <t>47544 Sachs Trail</t>
  </si>
  <si>
    <t>Bohou</t>
  </si>
  <si>
    <t>86-(333)814-4229</t>
  </si>
  <si>
    <t>1-(202)848-7968</t>
  </si>
  <si>
    <t>cgreene35@shutterfly.com</t>
  </si>
  <si>
    <t>Kelly Gilbert</t>
  </si>
  <si>
    <t>62-6964028</t>
  </si>
  <si>
    <t>3037 Montana Alley</t>
  </si>
  <si>
    <t>Buje</t>
  </si>
  <si>
    <t>385-(179)344-2094</t>
  </si>
  <si>
    <t>86-(232)843-7585</t>
  </si>
  <si>
    <t>kgilbert36@marketwatch.com</t>
  </si>
  <si>
    <t>Richard Hall</t>
  </si>
  <si>
    <t>63-0116463</t>
  </si>
  <si>
    <t>48 Sommers Parkway</t>
  </si>
  <si>
    <t>Villeneuve-lès-Avignon</t>
  </si>
  <si>
    <t>Languedoc-Roussillon</t>
  </si>
  <si>
    <t>30404 CEDEX</t>
  </si>
  <si>
    <t>33-(776)511-5744</t>
  </si>
  <si>
    <t>98-(849)352-8192</t>
  </si>
  <si>
    <t>rhall37@networksolutions.com</t>
  </si>
  <si>
    <t>Ruby Cruz</t>
  </si>
  <si>
    <t>40-0606100</t>
  </si>
  <si>
    <t>8296 Butterfield Plaza</t>
  </si>
  <si>
    <t>Mengyin</t>
  </si>
  <si>
    <t>86-(619)534-3467</t>
  </si>
  <si>
    <t>62-(932)540-8273</t>
  </si>
  <si>
    <t>rcruz38@i2i.jp</t>
  </si>
  <si>
    <t>Phyllis Williamson</t>
  </si>
  <si>
    <t>73-8090330</t>
  </si>
  <si>
    <t>283 Eagan Center</t>
  </si>
  <si>
    <t>Alannay</t>
  </si>
  <si>
    <t>63-(619)921-9339</t>
  </si>
  <si>
    <t>60-(570)994-2491</t>
  </si>
  <si>
    <t>pwilliamson39@ezinearticles.com</t>
  </si>
  <si>
    <t>Bruce Olson</t>
  </si>
  <si>
    <t>32-8723369</t>
  </si>
  <si>
    <t>5676 Alpine Terrace</t>
  </si>
  <si>
    <t>Tarusan</t>
  </si>
  <si>
    <t>63-(849)896-7211</t>
  </si>
  <si>
    <t>382-(303)768-8370</t>
  </si>
  <si>
    <t>bolson3a@stanford.edu</t>
  </si>
  <si>
    <t>Alan Thomas</t>
  </si>
  <si>
    <t>95-3317119</t>
  </si>
  <si>
    <t>60 Autumn Leaf Drive</t>
  </si>
  <si>
    <t>Huddinge</t>
  </si>
  <si>
    <t>Stockholm</t>
  </si>
  <si>
    <t>141 48</t>
  </si>
  <si>
    <t>46-(544)843-0474</t>
  </si>
  <si>
    <t>86-(453)414-0849</t>
  </si>
  <si>
    <t>athomas3b@umich.edu</t>
  </si>
  <si>
    <t>Kimberly Richards</t>
  </si>
  <si>
    <t>99-6428576</t>
  </si>
  <si>
    <t>1672 Daystar Parkway</t>
  </si>
  <si>
    <t>Annan</t>
  </si>
  <si>
    <t>86-(791)254-0868</t>
  </si>
  <si>
    <t>373-(145)416-1442</t>
  </si>
  <si>
    <t>krichards3c@google.co.uk</t>
  </si>
  <si>
    <t>Michelle Reyes</t>
  </si>
  <si>
    <t>40-8249780</t>
  </si>
  <si>
    <t>3966 Mayer Junction</t>
  </si>
  <si>
    <t>Néa Karváli</t>
  </si>
  <si>
    <t>30-(889)327-7148</t>
  </si>
  <si>
    <t>995-(397)587-8529</t>
  </si>
  <si>
    <t>mreyes3d@chron.com</t>
  </si>
  <si>
    <t>Diane Martin</t>
  </si>
  <si>
    <t>01-6766875</t>
  </si>
  <si>
    <t>383 Novick Street</t>
  </si>
  <si>
    <t>Sayang Lauq</t>
  </si>
  <si>
    <t>62-(657)376-5285</t>
  </si>
  <si>
    <t>1-(323)360-8654</t>
  </si>
  <si>
    <t>dmartin3e@desdev.cn</t>
  </si>
  <si>
    <t>Lawrence Moore</t>
  </si>
  <si>
    <t>64-5082814</t>
  </si>
  <si>
    <t>118 Tennyson Avenue</t>
  </si>
  <si>
    <t>Huangzhu</t>
  </si>
  <si>
    <t>86-(136)180-6954</t>
  </si>
  <si>
    <t>86-(505)467-7659</t>
  </si>
  <si>
    <t>lmoore3f@phoca.cz</t>
  </si>
  <si>
    <t>Mark Bradley</t>
  </si>
  <si>
    <t>46-5876608</t>
  </si>
  <si>
    <t>801 Golden Leaf Lane</t>
  </si>
  <si>
    <t>København</t>
  </si>
  <si>
    <t>Region Hovedstaden</t>
  </si>
  <si>
    <t>45-(639)353-2400</t>
  </si>
  <si>
    <t>1-(773)889-4074</t>
  </si>
  <si>
    <t>mbradley3g@sohu.com</t>
  </si>
  <si>
    <t>Stephanie Simmons</t>
  </si>
  <si>
    <t>95-0832562</t>
  </si>
  <si>
    <t>3 Sutherland Park</t>
  </si>
  <si>
    <t>Etten-Leur</t>
  </si>
  <si>
    <t>Provincie Noord-Brabant</t>
  </si>
  <si>
    <t>31-(189)416-7230</t>
  </si>
  <si>
    <t>86-(698)840-3403</t>
  </si>
  <si>
    <t>ssimmons3h@digg.com</t>
  </si>
  <si>
    <t>Lillian Owens</t>
  </si>
  <si>
    <t>00-6559436</t>
  </si>
  <si>
    <t>76950 Holy Cross Crossing</t>
  </si>
  <si>
    <t>San José de Mayo</t>
  </si>
  <si>
    <t>598-(362)127-7667</t>
  </si>
  <si>
    <t>265-(599)511-6121</t>
  </si>
  <si>
    <t>lowens3i@digg.com</t>
  </si>
  <si>
    <t>Howard Black</t>
  </si>
  <si>
    <t>17-8417947</t>
  </si>
  <si>
    <t>059 Novick Circle</t>
  </si>
  <si>
    <t>Greda</t>
  </si>
  <si>
    <t>385-(419)112-1974</t>
  </si>
  <si>
    <t>86-(286)691-9054</t>
  </si>
  <si>
    <t>hblack3j@pbs.org</t>
  </si>
  <si>
    <t>Gary Diaz</t>
  </si>
  <si>
    <t>87-2757649</t>
  </si>
  <si>
    <t>219 Butternut Point</t>
  </si>
  <si>
    <t>Ponta do Sol</t>
  </si>
  <si>
    <t>238-(710)460-5859</t>
  </si>
  <si>
    <t>54-(739)739-4156</t>
  </si>
  <si>
    <t>gdiaz3k@canalblog.com</t>
  </si>
  <si>
    <t>Arthur Alexander</t>
  </si>
  <si>
    <t>91-2788337</t>
  </si>
  <si>
    <t>08 Debs Terrace</t>
  </si>
  <si>
    <t>Banjar Triwangsakeliki</t>
  </si>
  <si>
    <t>62-(394)206-9721</t>
  </si>
  <si>
    <t>48-(955)743-3875</t>
  </si>
  <si>
    <t>aalexander3l@uol.com.br</t>
  </si>
  <si>
    <t>Alice Barnes</t>
  </si>
  <si>
    <t>09-4853194</t>
  </si>
  <si>
    <t>15 Manufacturers Road</t>
  </si>
  <si>
    <t>Matsuyama</t>
  </si>
  <si>
    <t>999-3146</t>
  </si>
  <si>
    <t>81-(679)336-6626</t>
  </si>
  <si>
    <t>33-(485)784-8096</t>
  </si>
  <si>
    <t>abarnes3m@cpanel.net</t>
  </si>
  <si>
    <t>Julia Hudson</t>
  </si>
  <si>
    <t>99-3452293</t>
  </si>
  <si>
    <t>80556 Cottonwood Plaza</t>
  </si>
  <si>
    <t>Abashiri</t>
  </si>
  <si>
    <t>408-0021</t>
  </si>
  <si>
    <t>81-(247)271-2363</t>
  </si>
  <si>
    <t>216-(545)367-9722</t>
  </si>
  <si>
    <t>jhudson3n@cisco.com</t>
  </si>
  <si>
    <t>Bonnie Roberts</t>
  </si>
  <si>
    <t>26-9474894</t>
  </si>
  <si>
    <t>44 Melrose Trail</t>
  </si>
  <si>
    <t>Žďár</t>
  </si>
  <si>
    <t>679 02</t>
  </si>
  <si>
    <t>420-(994)341-4650</t>
  </si>
  <si>
    <t>33-(665)518-8995</t>
  </si>
  <si>
    <t>broberts3o@google.ru</t>
  </si>
  <si>
    <t>Keith Arnold</t>
  </si>
  <si>
    <t>55-0560698</t>
  </si>
  <si>
    <t>9425 Morningstar Point</t>
  </si>
  <si>
    <t>Salitral</t>
  </si>
  <si>
    <t>506-(718)207-4202</t>
  </si>
  <si>
    <t>230-(509)675-9552</t>
  </si>
  <si>
    <t>karnold3p@example.com</t>
  </si>
  <si>
    <t>Shawn Walker</t>
  </si>
  <si>
    <t>23-4626350</t>
  </si>
  <si>
    <t>5471 Packers Lane</t>
  </si>
  <si>
    <t>Ordynskoye</t>
  </si>
  <si>
    <t>7-(544)271-1048</t>
  </si>
  <si>
    <t>48-(483)284-1066</t>
  </si>
  <si>
    <t>swalker3q@addtoany.com</t>
  </si>
  <si>
    <t>Richard Hicks</t>
  </si>
  <si>
    <t>49-8876359</t>
  </si>
  <si>
    <t>97 Hintze Alley</t>
  </si>
  <si>
    <t>Kněžpole</t>
  </si>
  <si>
    <t>793 51</t>
  </si>
  <si>
    <t>420-(485)963-3147</t>
  </si>
  <si>
    <t>62-(687)931-3918</t>
  </si>
  <si>
    <t>rhicks3r@europa.eu</t>
  </si>
  <si>
    <t>Amanda Lopez</t>
  </si>
  <si>
    <t>45-6337694</t>
  </si>
  <si>
    <t>4515 David Street</t>
  </si>
  <si>
    <t>Houston</t>
  </si>
  <si>
    <t>Texas</t>
  </si>
  <si>
    <t>1-(713)186-9349</t>
  </si>
  <si>
    <t>63-(301)779-6816</t>
  </si>
  <si>
    <t>alopez3s@e-recht24.de</t>
  </si>
  <si>
    <t>Paula Lane</t>
  </si>
  <si>
    <t>51-7050825</t>
  </si>
  <si>
    <t>95 Namekagon Center</t>
  </si>
  <si>
    <t>Neiba</t>
  </si>
  <si>
    <t>1-(198)271-4683</t>
  </si>
  <si>
    <t>48-(691)591-4541</t>
  </si>
  <si>
    <t>plane3t@webmd.com</t>
  </si>
  <si>
    <t>Marie Dunn</t>
  </si>
  <si>
    <t>55-5806451</t>
  </si>
  <si>
    <t>454 Tomscot Parkway</t>
  </si>
  <si>
    <t>Starigrad</t>
  </si>
  <si>
    <t>385-(631)799-8617</t>
  </si>
  <si>
    <t>57-(251)617-6167</t>
  </si>
  <si>
    <t>mdunn3u@oracle.com</t>
  </si>
  <si>
    <t>Rose Little</t>
  </si>
  <si>
    <t>76-1191873</t>
  </si>
  <si>
    <t>17 Ridgeway Place</t>
  </si>
  <si>
    <t>Leopoldina</t>
  </si>
  <si>
    <t>36700-000</t>
  </si>
  <si>
    <t>55-(522)583-3977</t>
  </si>
  <si>
    <t>63-(220)740-3782</t>
  </si>
  <si>
    <t>rlittle3v@linkedin.com</t>
  </si>
  <si>
    <t>Kelly Ferguson</t>
  </si>
  <si>
    <t>24-5817745</t>
  </si>
  <si>
    <t>46320 Summit Street</t>
  </si>
  <si>
    <t>101 22</t>
  </si>
  <si>
    <t>46-(596)517-6039</t>
  </si>
  <si>
    <t>370-(194)126-1936</t>
  </si>
  <si>
    <t>kferguson3w@dropbox.com</t>
  </si>
  <si>
    <t>Patrick Austin</t>
  </si>
  <si>
    <t>82-0610856</t>
  </si>
  <si>
    <t>476 Kings Hill</t>
  </si>
  <si>
    <t>Samagaltay</t>
  </si>
  <si>
    <t>7-(305)600-5007</t>
  </si>
  <si>
    <t>64-(597)944-6020</t>
  </si>
  <si>
    <t>paustin3x@topsy.com</t>
  </si>
  <si>
    <t>Andrea Ferguson</t>
  </si>
  <si>
    <t>11-5411126</t>
  </si>
  <si>
    <t>9630 Michigan Drive</t>
  </si>
  <si>
    <t>Inčukalns</t>
  </si>
  <si>
    <t>371-(205)337-8524</t>
  </si>
  <si>
    <t>86-(450)158-2457</t>
  </si>
  <si>
    <t>aferguson3y@nytimes.com</t>
  </si>
  <si>
    <t>Steven Fox</t>
  </si>
  <si>
    <t>73-9977651</t>
  </si>
  <si>
    <t>825 Southridge Trail</t>
  </si>
  <si>
    <t>Shuikou</t>
  </si>
  <si>
    <t>86-(873)254-0898</t>
  </si>
  <si>
    <t>55-(129)593-8608</t>
  </si>
  <si>
    <t>sfox3z@marriott.com</t>
  </si>
  <si>
    <t>Martin Clark</t>
  </si>
  <si>
    <t>84-9348312</t>
  </si>
  <si>
    <t>9 Mayfield Avenue</t>
  </si>
  <si>
    <t>Bilajari</t>
  </si>
  <si>
    <t>994-(696)417-7757</t>
  </si>
  <si>
    <t>62-(886)191-2549</t>
  </si>
  <si>
    <t>mclark40@woothemes.com</t>
  </si>
  <si>
    <t>Amy Flores</t>
  </si>
  <si>
    <t>38-6171874</t>
  </si>
  <si>
    <t>2929 Blue Bill Park Pass</t>
  </si>
  <si>
    <t>Dongzhang</t>
  </si>
  <si>
    <t>86-(216)105-6301</t>
  </si>
  <si>
    <t>62-(290)477-6285</t>
  </si>
  <si>
    <t>aflores41@nba.com</t>
  </si>
  <si>
    <t>Judith Henderson</t>
  </si>
  <si>
    <t>85-0165818</t>
  </si>
  <si>
    <t>7412 Mccormick Plaza</t>
  </si>
  <si>
    <t>Zheshan</t>
  </si>
  <si>
    <t>86-(745)480-3865</t>
  </si>
  <si>
    <t>62-(628)804-1521</t>
  </si>
  <si>
    <t>jhenderson42@lulu.com</t>
  </si>
  <si>
    <t>Judy Warren</t>
  </si>
  <si>
    <t>86-8724429</t>
  </si>
  <si>
    <t>999 Anniversary Drive</t>
  </si>
  <si>
    <t>Karanglo</t>
  </si>
  <si>
    <t>62-(729)642-9732</t>
  </si>
  <si>
    <t>86-(958)325-2582</t>
  </si>
  <si>
    <t>jwarren43@netlog.com</t>
  </si>
  <si>
    <t>Gregory Ross</t>
  </si>
  <si>
    <t>60-4281408</t>
  </si>
  <si>
    <t>1238 Center Lane</t>
  </si>
  <si>
    <t>Göteborg</t>
  </si>
  <si>
    <t>400 15</t>
  </si>
  <si>
    <t>46-(253)464-3036</t>
  </si>
  <si>
    <t>380-(774)823-0082</t>
  </si>
  <si>
    <t>gross44@netlog.com</t>
  </si>
  <si>
    <t>Jane Shaw</t>
  </si>
  <si>
    <t>29-8926994</t>
  </si>
  <si>
    <t>422 Carioca Lane</t>
  </si>
  <si>
    <t>Cihaur</t>
  </si>
  <si>
    <t>62-(702)436-6793</t>
  </si>
  <si>
    <t>51-(434)493-4384</t>
  </si>
  <si>
    <t>jshaw45@columbia.edu</t>
  </si>
  <si>
    <t>Edward Black</t>
  </si>
  <si>
    <t>84-1759489</t>
  </si>
  <si>
    <t>6 Norway Maple Park</t>
  </si>
  <si>
    <t>Shangqiu</t>
  </si>
  <si>
    <t>86-(613)251-2518</t>
  </si>
  <si>
    <t>86-(274)610-1966</t>
  </si>
  <si>
    <t>eblack46@typepad.com</t>
  </si>
  <si>
    <t>Juan Willis</t>
  </si>
  <si>
    <t>89-4131121</t>
  </si>
  <si>
    <t>23502 Esker Drive</t>
  </si>
  <si>
    <t>Angoulême</t>
  </si>
  <si>
    <t>Poitou-Charentes</t>
  </si>
  <si>
    <t>16015 CEDEX</t>
  </si>
  <si>
    <t>33-(662)374-2891</t>
  </si>
  <si>
    <t>54-(523)840-0114</t>
  </si>
  <si>
    <t>jwillis47@sakura.ne.jp</t>
  </si>
  <si>
    <t>Theresa Bradley</t>
  </si>
  <si>
    <t>33-2943867</t>
  </si>
  <si>
    <t>8 Portage Parkway</t>
  </si>
  <si>
    <t>Vila Nova</t>
  </si>
  <si>
    <t>Vila Real</t>
  </si>
  <si>
    <t>5445-072</t>
  </si>
  <si>
    <t>351-(991)239-0552</t>
  </si>
  <si>
    <t>387-(749)642-5075</t>
  </si>
  <si>
    <t>tbradley48@ca.gov</t>
  </si>
  <si>
    <t>Evelyn Franklin</t>
  </si>
  <si>
    <t>76-4528169</t>
  </si>
  <si>
    <t>354 Old Shore Junction</t>
  </si>
  <si>
    <t>Zhangjiayuan</t>
  </si>
  <si>
    <t>86-(566)317-1291</t>
  </si>
  <si>
    <t>351-(596)114-7850</t>
  </si>
  <si>
    <t>efranklin49@phpbb.com</t>
  </si>
  <si>
    <t>Tammy Gomez</t>
  </si>
  <si>
    <t>67-4352950</t>
  </si>
  <si>
    <t>0 Mendota Center</t>
  </si>
  <si>
    <t>Vlachovo Březí</t>
  </si>
  <si>
    <t>384 22</t>
  </si>
  <si>
    <t>420-(507)125-1700</t>
  </si>
  <si>
    <t>351-(115)169-2014</t>
  </si>
  <si>
    <t>tgomez4a@arizona.edu</t>
  </si>
  <si>
    <t>Martin Fisher</t>
  </si>
  <si>
    <t>42-7694088</t>
  </si>
  <si>
    <t>52 Hermina Junction</t>
  </si>
  <si>
    <t>Kuchinarai</t>
  </si>
  <si>
    <t>66-(861)978-2368</t>
  </si>
  <si>
    <t>383-(687)990-4542</t>
  </si>
  <si>
    <t>mfisher4b@biglobe.ne.jp</t>
  </si>
  <si>
    <t>Joyce Robinson</t>
  </si>
  <si>
    <t>80-8613449</t>
  </si>
  <si>
    <t>9 Prairieview Road</t>
  </si>
  <si>
    <t>Ranisoba</t>
  </si>
  <si>
    <t>62-(858)117-6660</t>
  </si>
  <si>
    <t>48-(798)715-1748</t>
  </si>
  <si>
    <t>jrobinson4c@homestead.com</t>
  </si>
  <si>
    <t>Christopher Stanley</t>
  </si>
  <si>
    <t>40-3803581</t>
  </si>
  <si>
    <t>8231 Fieldstone Alley</t>
  </si>
  <si>
    <t>Pan de Azúcar</t>
  </si>
  <si>
    <t>598-(603)139-7903</t>
  </si>
  <si>
    <t>86-(825)212-3506</t>
  </si>
  <si>
    <t>cstanley4d@pbs.org</t>
  </si>
  <si>
    <t>Stephanie Clark</t>
  </si>
  <si>
    <t>88-1159041</t>
  </si>
  <si>
    <t>7 4th Terrace</t>
  </si>
  <si>
    <t>Tampa</t>
  </si>
  <si>
    <t>1-(813)991-6668</t>
  </si>
  <si>
    <t>262-(328)643-8765</t>
  </si>
  <si>
    <t>sclark4e@slate.com</t>
  </si>
  <si>
    <t>Beverly Riley</t>
  </si>
  <si>
    <t>24-9022561</t>
  </si>
  <si>
    <t>1 Summerview Terrace</t>
  </si>
  <si>
    <t>La Jicaral</t>
  </si>
  <si>
    <t>505-(846)735-1702</t>
  </si>
  <si>
    <t>30-(591)863-6343</t>
  </si>
  <si>
    <t>briley4f@whitehouse.gov</t>
  </si>
  <si>
    <t>Catherine Stephens</t>
  </si>
  <si>
    <t>54-6447106</t>
  </si>
  <si>
    <t>2 Elgar Lane</t>
  </si>
  <si>
    <t>Yushanpu</t>
  </si>
  <si>
    <t>86-(720)537-8972</t>
  </si>
  <si>
    <t>383-(708)505-1563</t>
  </si>
  <si>
    <t>cstephens4g@blog.com</t>
  </si>
  <si>
    <t>Steve Mccoy</t>
  </si>
  <si>
    <t>14-2069898</t>
  </si>
  <si>
    <t>82 Mcguire Crossing</t>
  </si>
  <si>
    <t>Morant Bay</t>
  </si>
  <si>
    <t>1-(400)426-4484</t>
  </si>
  <si>
    <t>63-(125)327-2070</t>
  </si>
  <si>
    <t>smccoy4h@purevolume.com</t>
  </si>
  <si>
    <t>James Griffin</t>
  </si>
  <si>
    <t>03-7272370</t>
  </si>
  <si>
    <t>986 Fisk Lane</t>
  </si>
  <si>
    <t>Hpa-an</t>
  </si>
  <si>
    <t>95-(781)757-9257</t>
  </si>
  <si>
    <t>380-(945)294-9090</t>
  </si>
  <si>
    <t>jgriffin4i@princeton.edu</t>
  </si>
  <si>
    <t>Anthony Hunt</t>
  </si>
  <si>
    <t>46-2747572</t>
  </si>
  <si>
    <t>4043 Kennedy Drive</t>
  </si>
  <si>
    <t>Līkak</t>
  </si>
  <si>
    <t>98-(870)507-5584</t>
  </si>
  <si>
    <t>62-(506)765-3561</t>
  </si>
  <si>
    <t>ahunt4j@msn.com</t>
  </si>
  <si>
    <t>Ruth Cunningham</t>
  </si>
  <si>
    <t>82-6867978</t>
  </si>
  <si>
    <t>87 Dwight Junction</t>
  </si>
  <si>
    <t>Gŭlŭbovo</t>
  </si>
  <si>
    <t>359-(569)886-5748</t>
  </si>
  <si>
    <t>994-(624)344-8197</t>
  </si>
  <si>
    <t>rcunningham4k@php.net</t>
  </si>
  <si>
    <t>Henry Andrews</t>
  </si>
  <si>
    <t>56-0014939</t>
  </si>
  <si>
    <t>45140 Bluejay Avenue</t>
  </si>
  <si>
    <t>Lezhë</t>
  </si>
  <si>
    <t>355-(475)554-1561</t>
  </si>
  <si>
    <t>260-(531)889-8472</t>
  </si>
  <si>
    <t>handrews4l@woothemes.com</t>
  </si>
  <si>
    <t>Daniel Dixon</t>
  </si>
  <si>
    <t>98-5058785</t>
  </si>
  <si>
    <t>9040 Truax Point</t>
  </si>
  <si>
    <t>Bayawan</t>
  </si>
  <si>
    <t>63-(119)967-5347</t>
  </si>
  <si>
    <t>386-(383)702-7732</t>
  </si>
  <si>
    <t>ddixon4m@1688.com</t>
  </si>
  <si>
    <t>Sara Lee</t>
  </si>
  <si>
    <t>12-2202258</t>
  </si>
  <si>
    <t>9985 Schlimgen Plaza</t>
  </si>
  <si>
    <t>Mapinrea</t>
  </si>
  <si>
    <t>62-(351)808-8556</t>
  </si>
  <si>
    <t>81-(944)635-1605</t>
  </si>
  <si>
    <t>slee4n@ifeng.com</t>
  </si>
  <si>
    <t>Mildred Hudson</t>
  </si>
  <si>
    <t>31-9411578</t>
  </si>
  <si>
    <t>0102 American Junction</t>
  </si>
  <si>
    <t>Monte Novo</t>
  </si>
  <si>
    <t>Setúbal</t>
  </si>
  <si>
    <t>7540-051</t>
  </si>
  <si>
    <t>351-(410)866-4697</t>
  </si>
  <si>
    <t>242-(187)661-7171</t>
  </si>
  <si>
    <t>mhudson4o@home.pl</t>
  </si>
  <si>
    <t>Bobby Harrison</t>
  </si>
  <si>
    <t>24-8116610</t>
  </si>
  <si>
    <t>30 Weeping Birch Trail</t>
  </si>
  <si>
    <t>Pinaring</t>
  </si>
  <si>
    <t>63-(790)910-0979</t>
  </si>
  <si>
    <t>62-(461)249-3607</t>
  </si>
  <si>
    <t>bharrison4p@nps.gov</t>
  </si>
  <si>
    <t>Linda Schmidt</t>
  </si>
  <si>
    <t>14-8886243</t>
  </si>
  <si>
    <t>9 Tennessee Hill</t>
  </si>
  <si>
    <t>Ekpoma</t>
  </si>
  <si>
    <t>234-(273)258-6595</t>
  </si>
  <si>
    <t>86-(627)641-1178</t>
  </si>
  <si>
    <t>lschmidt4q@examiner.com</t>
  </si>
  <si>
    <t>Jason Reyes</t>
  </si>
  <si>
    <t>65-6821083</t>
  </si>
  <si>
    <t>16675 Moland Drive</t>
  </si>
  <si>
    <t>Wanbu</t>
  </si>
  <si>
    <t>86-(615)492-3335</t>
  </si>
  <si>
    <t>51-(896)493-7169</t>
  </si>
  <si>
    <t>jreyes4r@lycos.com</t>
  </si>
  <si>
    <t>Katherine Fuller</t>
  </si>
  <si>
    <t>60-2667378</t>
  </si>
  <si>
    <t>2 Main Junction</t>
  </si>
  <si>
    <t>Cárdenas</t>
  </si>
  <si>
    <t>53-(820)469-2991</t>
  </si>
  <si>
    <t>1-(203)660-0677</t>
  </si>
  <si>
    <t>kfuller4s@bbc.co.uk</t>
  </si>
  <si>
    <t>Catherine Henry</t>
  </si>
  <si>
    <t>43-8669447</t>
  </si>
  <si>
    <t>61 Arapahoe Lane</t>
  </si>
  <si>
    <t>Fengpo</t>
  </si>
  <si>
    <t>86-(354)587-7065</t>
  </si>
  <si>
    <t>963-(411)943-0536</t>
  </si>
  <si>
    <t>chenry4t@webmd.com</t>
  </si>
  <si>
    <t>Cynthia Stephens</t>
  </si>
  <si>
    <t>74-1225468</t>
  </si>
  <si>
    <t>11348 Johnson Terrace</t>
  </si>
  <si>
    <t>Tuusula</t>
  </si>
  <si>
    <t>358-(576)467-0846</t>
  </si>
  <si>
    <t>33-(271)302-5932</t>
  </si>
  <si>
    <t>cstephens4u@clickbank.net</t>
  </si>
  <si>
    <t>Peter Ryan</t>
  </si>
  <si>
    <t>52-9809468</t>
  </si>
  <si>
    <t>968 Independence Point</t>
  </si>
  <si>
    <t>Sumberrojokrajan</t>
  </si>
  <si>
    <t>62-(749)268-3698</t>
  </si>
  <si>
    <t>7-(994)440-8822</t>
  </si>
  <si>
    <t>pryan4v@umich.edu</t>
  </si>
  <si>
    <t>Antonio Gutierrez</t>
  </si>
  <si>
    <t>17-3748956</t>
  </si>
  <si>
    <t>42 Sunbrook Pass</t>
  </si>
  <si>
    <t>Chagoda</t>
  </si>
  <si>
    <t>7-(561)558-2202</t>
  </si>
  <si>
    <t>355-(201)247-4191</t>
  </si>
  <si>
    <t>agutierrez4w@amazon.co.uk</t>
  </si>
  <si>
    <t>James Powell</t>
  </si>
  <si>
    <t>83-7761950</t>
  </si>
  <si>
    <t>8 Schlimgen Way</t>
  </si>
  <si>
    <t>Verkhniy Dashkesan</t>
  </si>
  <si>
    <t>994-(844)858-5035</t>
  </si>
  <si>
    <t>261-(854)216-1658</t>
  </si>
  <si>
    <t>jpowell4x@dailymail.co.uk</t>
  </si>
  <si>
    <t>Joshua Fisher</t>
  </si>
  <si>
    <t>47-0948893</t>
  </si>
  <si>
    <t>4 Rigney Circle</t>
  </si>
  <si>
    <t>Oslo</t>
  </si>
  <si>
    <t>47-(332)417-0410</t>
  </si>
  <si>
    <t>1-(867)322-4175</t>
  </si>
  <si>
    <t>jfisher4y@studiopress.com</t>
  </si>
  <si>
    <t>Marilyn Mills</t>
  </si>
  <si>
    <t>42-0270660</t>
  </si>
  <si>
    <t>1018 Thierer Lane</t>
  </si>
  <si>
    <t>Herálec</t>
  </si>
  <si>
    <t>592 01</t>
  </si>
  <si>
    <t>420-(810)870-5311</t>
  </si>
  <si>
    <t>33-(646)707-0349</t>
  </si>
  <si>
    <t>mmills4z@cnn.com</t>
  </si>
  <si>
    <t>Nancy Bell</t>
  </si>
  <si>
    <t>38-1847362</t>
  </si>
  <si>
    <t>87580 Doe Crossing Road</t>
  </si>
  <si>
    <t>Plessisville</t>
  </si>
  <si>
    <t>G6L</t>
  </si>
  <si>
    <t>1-(758)388-5166</t>
  </si>
  <si>
    <t>504-(661)232-5063</t>
  </si>
  <si>
    <t>nbell50@altervista.org</t>
  </si>
  <si>
    <t>Peter Hughes</t>
  </si>
  <si>
    <t>32-4151327</t>
  </si>
  <si>
    <t>60 Old Shore Road</t>
  </si>
  <si>
    <t>Frederiksberg</t>
  </si>
  <si>
    <t>45-(270)694-5036</t>
  </si>
  <si>
    <t>420-(828)400-0067</t>
  </si>
  <si>
    <t>phughes51@people.com.cn</t>
  </si>
  <si>
    <t>Adam Palmer</t>
  </si>
  <si>
    <t>01-0026290</t>
  </si>
  <si>
    <t>89291 Lerdahl Drive</t>
  </si>
  <si>
    <t>Cabalaoangan</t>
  </si>
  <si>
    <t>63-(553)725-8813</t>
  </si>
  <si>
    <t>62-(401)195-4801</t>
  </si>
  <si>
    <t>apalmer52@nsw.gov.au</t>
  </si>
  <si>
    <t>Harold Ruiz</t>
  </si>
  <si>
    <t>79-1254562</t>
  </si>
  <si>
    <t>88 Tennyson Center</t>
  </si>
  <si>
    <t>Xinzhuang</t>
  </si>
  <si>
    <t>86-(903)126-0867</t>
  </si>
  <si>
    <t>383-(982)974-7609</t>
  </si>
  <si>
    <t>hruiz53@vk.com</t>
  </si>
  <si>
    <t>Craig Garrett</t>
  </si>
  <si>
    <t>72-4569729</t>
  </si>
  <si>
    <t>541 Stone Corner Trail</t>
  </si>
  <si>
    <t>Marādah</t>
  </si>
  <si>
    <t>218-(581)532-4357</t>
  </si>
  <si>
    <t>62-(567)973-5596</t>
  </si>
  <si>
    <t>cgarrett54@yahoo.com</t>
  </si>
  <si>
    <t>Fred Fields</t>
  </si>
  <si>
    <t>57-1023510</t>
  </si>
  <si>
    <t>70904 Sunfield Park</t>
  </si>
  <si>
    <t>Cabaiguán</t>
  </si>
  <si>
    <t>53-(404)509-0825</t>
  </si>
  <si>
    <t>62-(190)438-3350</t>
  </si>
  <si>
    <t>ffields55@yale.edu</t>
  </si>
  <si>
    <t>Donald Larson</t>
  </si>
  <si>
    <t>04-8071883</t>
  </si>
  <si>
    <t>2 Sutherland Crossing</t>
  </si>
  <si>
    <t>Bené Beraq</t>
  </si>
  <si>
    <t>972-(174)393-7124</t>
  </si>
  <si>
    <t>7-(325)731-6484</t>
  </si>
  <si>
    <t>dlarson56@devhub.com</t>
  </si>
  <si>
    <t>Jacqueline Duncan</t>
  </si>
  <si>
    <t>53-9987260</t>
  </si>
  <si>
    <t>80340 Hollow Ridge Drive</t>
  </si>
  <si>
    <t>Aţ Ţawīlah</t>
  </si>
  <si>
    <t>967-(724)172-6812</t>
  </si>
  <si>
    <t>86-(919)743-1222</t>
  </si>
  <si>
    <t>jduncan57@cloudflare.com</t>
  </si>
  <si>
    <t>Nicole Moore</t>
  </si>
  <si>
    <t>89-6985238</t>
  </si>
  <si>
    <t>35 Evergreen Way</t>
  </si>
  <si>
    <t>Diamantina</t>
  </si>
  <si>
    <t>63-(284)451-2238</t>
  </si>
  <si>
    <t>55-(527)189-6318</t>
  </si>
  <si>
    <t>nmoore58@baidu.com</t>
  </si>
  <si>
    <t>Norma Duncan</t>
  </si>
  <si>
    <t>55-4162949</t>
  </si>
  <si>
    <t>0 Old Shore Circle</t>
  </si>
  <si>
    <t>Daykitin</t>
  </si>
  <si>
    <t>63-(512)504-6905</t>
  </si>
  <si>
    <t>86-(850)865-1306</t>
  </si>
  <si>
    <t>nduncan59@china.com.cn</t>
  </si>
  <si>
    <t>Nancy Kelly</t>
  </si>
  <si>
    <t>27-8165762</t>
  </si>
  <si>
    <t>6237 Coleman Parkway</t>
  </si>
  <si>
    <t>Dushan</t>
  </si>
  <si>
    <t>86-(354)770-8214</t>
  </si>
  <si>
    <t>81-(208)820-5152</t>
  </si>
  <si>
    <t>nkelly5a@devhub.com</t>
  </si>
  <si>
    <t>Russell Hanson</t>
  </si>
  <si>
    <t>11-7588213</t>
  </si>
  <si>
    <t>56 Holmberg Drive</t>
  </si>
  <si>
    <t>Lille</t>
  </si>
  <si>
    <t>Nord-Pas-de-Calais</t>
  </si>
  <si>
    <t>59895 CEDEX 9</t>
  </si>
  <si>
    <t>33-(807)548-7410</t>
  </si>
  <si>
    <t>1-(413)434-0124</t>
  </si>
  <si>
    <t>rhanson5b@ebay.co.uk</t>
  </si>
  <si>
    <t>Ashley Bailey</t>
  </si>
  <si>
    <t>35-0132025</t>
  </si>
  <si>
    <t>688 Wayridge Park</t>
  </si>
  <si>
    <t>Guangdu</t>
  </si>
  <si>
    <t>86-(472)580-8169</t>
  </si>
  <si>
    <t>359-(509)618-3123</t>
  </si>
  <si>
    <t>abailey5c@slate.com</t>
  </si>
  <si>
    <t>Linda Smith</t>
  </si>
  <si>
    <t>21-2492522</t>
  </si>
  <si>
    <t>473 Lillian Park</t>
  </si>
  <si>
    <t>Kurunegala</t>
  </si>
  <si>
    <t>94-(933)387-2012</t>
  </si>
  <si>
    <t>212-(822)285-4487</t>
  </si>
  <si>
    <t>lsmith5d@gmpg.org</t>
  </si>
  <si>
    <t>Jimmy Hunter</t>
  </si>
  <si>
    <t>13-7745619</t>
  </si>
  <si>
    <t>817 Nevada Crossing</t>
  </si>
  <si>
    <t>Maracanã</t>
  </si>
  <si>
    <t>68710-000</t>
  </si>
  <si>
    <t>55-(868)593-7064</t>
  </si>
  <si>
    <t>381-(986)814-9832</t>
  </si>
  <si>
    <t>jhunter5e@ftc.gov</t>
  </si>
  <si>
    <t>Anne Schmidt</t>
  </si>
  <si>
    <t>62-9647492</t>
  </si>
  <si>
    <t>63 Kedzie Crossing</t>
  </si>
  <si>
    <t>Francisco Villa</t>
  </si>
  <si>
    <t>Durango</t>
  </si>
  <si>
    <t>52-(802)605-6699</t>
  </si>
  <si>
    <t>385-(183)706-3338</t>
  </si>
  <si>
    <t>aschmidt5f@umn.edu</t>
  </si>
  <si>
    <t>Carol Reid</t>
  </si>
  <si>
    <t>59-6685785</t>
  </si>
  <si>
    <t>56579 Moland Center</t>
  </si>
  <si>
    <t>Sundsvall</t>
  </si>
  <si>
    <t>Västernorrland</t>
  </si>
  <si>
    <t>853 56</t>
  </si>
  <si>
    <t>46-(168)125-8614</t>
  </si>
  <si>
    <t>86-(827)534-8138</t>
  </si>
  <si>
    <t>creid5g@lulu.com</t>
  </si>
  <si>
    <t>Mark Cruz</t>
  </si>
  <si>
    <t>02-8542652</t>
  </si>
  <si>
    <t>5 Northwestern Lane</t>
  </si>
  <si>
    <t>Liuzhuang</t>
  </si>
  <si>
    <t>86-(378)897-8480</t>
  </si>
  <si>
    <t>504-(560)697-3707</t>
  </si>
  <si>
    <t>mcruz5h@java.com</t>
  </si>
  <si>
    <t>Donna Graham</t>
  </si>
  <si>
    <t>16-5849347</t>
  </si>
  <si>
    <t>81384 Schmedeman Drive</t>
  </si>
  <si>
    <t>Las Americas</t>
  </si>
  <si>
    <t>Guanajuato</t>
  </si>
  <si>
    <t>52-(431)526-4390</t>
  </si>
  <si>
    <t>63-(442)808-0752</t>
  </si>
  <si>
    <t>dgraham5i@sakura.ne.jp</t>
  </si>
  <si>
    <t>Janet Ruiz</t>
  </si>
  <si>
    <t>44-8942893</t>
  </si>
  <si>
    <t>5 Tony Street</t>
  </si>
  <si>
    <t>Kinalaglagan</t>
  </si>
  <si>
    <t>63-(305)178-0817</t>
  </si>
  <si>
    <t>30-(497)283-6136</t>
  </si>
  <si>
    <t>jruiz5j@uiuc.edu</t>
  </si>
  <si>
    <t>Wanda Howard</t>
  </si>
  <si>
    <t>69-8231556</t>
  </si>
  <si>
    <t>592 Russell Way</t>
  </si>
  <si>
    <t>Rostock</t>
  </si>
  <si>
    <t>Mecklenburg-Vorpommern</t>
  </si>
  <si>
    <t>49-(231)984-7454</t>
  </si>
  <si>
    <t>57-(639)551-7702</t>
  </si>
  <si>
    <t>whoward5k@marriott.com</t>
  </si>
  <si>
    <t>Lori Brown</t>
  </si>
  <si>
    <t>10-8952462</t>
  </si>
  <si>
    <t>399 Towne Street</t>
  </si>
  <si>
    <t>Guatraché</t>
  </si>
  <si>
    <t>54-(441)493-0369</t>
  </si>
  <si>
    <t>351-(263)769-6038</t>
  </si>
  <si>
    <t>lbrown5l@go.com</t>
  </si>
  <si>
    <t>Julia Little</t>
  </si>
  <si>
    <t>44-5910317</t>
  </si>
  <si>
    <t>7 Maryland Court</t>
  </si>
  <si>
    <t>Sangat</t>
  </si>
  <si>
    <t>63-(530)776-9595</t>
  </si>
  <si>
    <t>81-(556)323-1673</t>
  </si>
  <si>
    <t>jlittle5m@nytimes.com</t>
  </si>
  <si>
    <t>Jesse Arnold</t>
  </si>
  <si>
    <t>07-3142741</t>
  </si>
  <si>
    <t>3754 8th Point</t>
  </si>
  <si>
    <t>Daze</t>
  </si>
  <si>
    <t>86-(116)821-4550</t>
  </si>
  <si>
    <t>63-(419)278-4834</t>
  </si>
  <si>
    <t>jarnold5n@miibeian.gov.cn</t>
  </si>
  <si>
    <t>Joyce Schmidt</t>
  </si>
  <si>
    <t>53-6071981</t>
  </si>
  <si>
    <t>66701 Duke Trail</t>
  </si>
  <si>
    <t>Junín</t>
  </si>
  <si>
    <t>54-(512)582-4563</t>
  </si>
  <si>
    <t>7-(836)703-4401</t>
  </si>
  <si>
    <t>jschmidt5o@stanford.edu</t>
  </si>
  <si>
    <t>Irene Russell</t>
  </si>
  <si>
    <t>76-2891745</t>
  </si>
  <si>
    <t>147 Fisk Center</t>
  </si>
  <si>
    <t>Depapre</t>
  </si>
  <si>
    <t>62-(764)856-3786</t>
  </si>
  <si>
    <t>56-(677)122-4021</t>
  </si>
  <si>
    <t>irussell5p@chronoengine.com</t>
  </si>
  <si>
    <t>Justin Jordan</t>
  </si>
  <si>
    <t>75-3888862</t>
  </si>
  <si>
    <t>5 Cambridge Place</t>
  </si>
  <si>
    <t>Kalodu</t>
  </si>
  <si>
    <t>62-(272)606-8346</t>
  </si>
  <si>
    <t>380-(817)301-3948</t>
  </si>
  <si>
    <t>jjordan5q@utexas.edu</t>
  </si>
  <si>
    <t>Stephen Bowman</t>
  </si>
  <si>
    <t>46-5022584</t>
  </si>
  <si>
    <t>906 Nelson Plaza</t>
  </si>
  <si>
    <t>Remolino</t>
  </si>
  <si>
    <t>57-(921)473-1684</t>
  </si>
  <si>
    <t>420-(527)464-1394</t>
  </si>
  <si>
    <t>sbowman5r@upenn.edu</t>
  </si>
  <si>
    <t>Virginia Holmes</t>
  </si>
  <si>
    <t>10-7803868</t>
  </si>
  <si>
    <t>19297 Bobwhite Plaza</t>
  </si>
  <si>
    <t>Oklahoma City</t>
  </si>
  <si>
    <t>Oklahoma</t>
  </si>
  <si>
    <t>1-(405)559-1508</t>
  </si>
  <si>
    <t>27-(265)878-5858</t>
  </si>
  <si>
    <t>vholmes5s@dion.ne.jp</t>
  </si>
  <si>
    <t>Steven Wright</t>
  </si>
  <si>
    <t>09-2227334</t>
  </si>
  <si>
    <t>58 Oakridge Junction</t>
  </si>
  <si>
    <t>Schäffern</t>
  </si>
  <si>
    <t>Steiermark</t>
  </si>
  <si>
    <t>43-(111)384-2235</t>
  </si>
  <si>
    <t>55-(812)719-0555</t>
  </si>
  <si>
    <t>swright5t@qq.com</t>
  </si>
  <si>
    <t>Walter Robertson</t>
  </si>
  <si>
    <t>05-2154358</t>
  </si>
  <si>
    <t>7 Brentwood Center</t>
  </si>
  <si>
    <t>Zruč nad Sázavou</t>
  </si>
  <si>
    <t>285 22</t>
  </si>
  <si>
    <t>420-(648)375-2993</t>
  </si>
  <si>
    <t>63-(759)933-4064</t>
  </si>
  <si>
    <t>wrobertson5u@shareasale.com</t>
  </si>
  <si>
    <t>Jack Tucker</t>
  </si>
  <si>
    <t>02-8448863</t>
  </si>
  <si>
    <t>16 Village Terrace</t>
  </si>
  <si>
    <t>Digos</t>
  </si>
  <si>
    <t>63-(202)711-3310</t>
  </si>
  <si>
    <t>63-(895)223-2845</t>
  </si>
  <si>
    <t>jtucker5v@gravatar.com</t>
  </si>
  <si>
    <t>Keith Martin</t>
  </si>
  <si>
    <t>80-5964559</t>
  </si>
  <si>
    <t>2514 Loeprich Alley</t>
  </si>
  <si>
    <t>Daejeon</t>
  </si>
  <si>
    <t>82-(289)780-8626</t>
  </si>
  <si>
    <t>507-(695)208-6088</t>
  </si>
  <si>
    <t>kmartin5w@ftc.gov</t>
  </si>
  <si>
    <t>William Clark</t>
  </si>
  <si>
    <t>70-3729030</t>
  </si>
  <si>
    <t>5 Monterey Road</t>
  </si>
  <si>
    <t>Basar</t>
  </si>
  <si>
    <t>86-(465)407-6915</t>
  </si>
  <si>
    <t>86-(716)560-2148</t>
  </si>
  <si>
    <t>wclark5x@wikimedia.org</t>
  </si>
  <si>
    <t>Rebecca Medina</t>
  </si>
  <si>
    <t>63-7953301</t>
  </si>
  <si>
    <t>37324 Paget Court</t>
  </si>
  <si>
    <t>Glamang</t>
  </si>
  <si>
    <t>63-(771)153-0942</t>
  </si>
  <si>
    <t>47-(139)235-7595</t>
  </si>
  <si>
    <t>rmedina5y@wisc.edu</t>
  </si>
  <si>
    <t>Joan Greene</t>
  </si>
  <si>
    <t>72-7145470</t>
  </si>
  <si>
    <t>1 Prairie Rose Place</t>
  </si>
  <si>
    <t>Samangawah</t>
  </si>
  <si>
    <t>62-(270)424-0380</t>
  </si>
  <si>
    <t>63-(766)578-4543</t>
  </si>
  <si>
    <t>jgreene5z@bloglines.com</t>
  </si>
  <si>
    <t>Juan Ryan</t>
  </si>
  <si>
    <t>31-5019552</t>
  </si>
  <si>
    <t>06 Hoffman Point</t>
  </si>
  <si>
    <t>357-(800)249-8804</t>
  </si>
  <si>
    <t>46-(943)338-7247</t>
  </si>
  <si>
    <t>jryan60@timesonline.co.uk</t>
  </si>
  <si>
    <t>Fake Data coutesy: https://www.mockaroo.com/</t>
  </si>
  <si>
    <t>Addres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</si>
</sst>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409]d\-mmm\-yy;@"/>
    <numFmt numFmtId="165" formatCode="[$₹-4009]&quot; &quot;#,##0.00"/>
    <numFmt numFmtId="166" formatCode="&quot; &quot;&quot; &quot;#,##0.00"/>
    <numFmt numFmtId="167" formatCode="&quot; &quot;&quot; &quot;#,##0.00;[Red]&quot; &quot;&quot; &quot;\-#,##0.00"/>
  </numFmts>
  <fonts count="14" x14ac:knownFonts="1">
    <font>
      <sz val="11"/>
      <color theme="1"/>
      <name val="Calibri"/>
      <family val="2"/>
      <scheme val="minor"/>
    </font>
    <font>
      <sz val="10"/>
      <name val="Arial"/>
      <family val="2"/>
    </font>
    <font>
      <sz val="9"/>
      <color indexed="81"/>
      <name val="Tahoma"/>
      <family val="2"/>
    </font>
    <font>
      <b/>
      <sz val="9"/>
      <color indexed="81"/>
      <name val="Tahoma"/>
      <family val="2"/>
    </font>
    <font>
      <sz val="10"/>
      <color indexed="8"/>
      <name val="Calibri"/>
      <family val="2"/>
    </font>
    <font>
      <sz val="11"/>
      <color theme="1"/>
      <name val="Calibri"/>
      <family val="2"/>
      <scheme val="minor"/>
    </font>
    <font>
      <b/>
      <sz val="11"/>
      <color theme="1"/>
      <name val="Calibri"/>
      <family val="2"/>
      <scheme val="minor"/>
    </font>
    <font>
      <sz val="10"/>
      <color theme="1"/>
      <name val="Arial"/>
      <family val="2"/>
    </font>
    <font>
      <sz val="10"/>
      <color theme="1"/>
      <name val="Calibri"/>
      <family val="2"/>
      <scheme val="minor"/>
    </font>
    <font>
      <b/>
      <sz val="10"/>
      <color theme="1"/>
      <name val="Arial"/>
      <family val="2"/>
    </font>
    <font>
      <sz val="12"/>
      <color theme="1"/>
      <name val="Calibri"/>
      <family val="2"/>
      <scheme val="minor"/>
    </font>
    <font>
      <b/>
      <sz val="10"/>
      <color theme="1"/>
      <name val="Calibri"/>
      <family val="2"/>
      <scheme val="minor"/>
    </font>
    <font>
      <sz val="11"/>
      <color rgb="FF000000"/>
      <name val="Calibri"/>
      <family val="2"/>
    </font>
    <font>
      <u/>
      <sz val="11"/>
      <color theme="10"/>
      <name val="Calibri"/>
      <family val="2"/>
      <scheme val="minor"/>
    </font>
  </fonts>
  <fills count="9">
    <fill>
      <patternFill patternType="none"/>
    </fill>
    <fill>
      <patternFill patternType="gray125"/>
    </fill>
    <fill>
      <patternFill patternType="solid">
        <fgColor rgb="FFFFFFCC"/>
      </patternFill>
    </fill>
    <fill>
      <patternFill patternType="solid">
        <fgColor theme="4" tint="0.7999816888943144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rgb="FFFF0000"/>
        <bgColor indexed="64"/>
      </patternFill>
    </fill>
    <fill>
      <patternFill patternType="solid">
        <fgColor theme="3"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bottom style="thin">
        <color rgb="FF000000"/>
      </bottom>
      <diagonal/>
    </border>
  </borders>
  <cellStyleXfs count="5">
    <xf numFmtId="0" fontId="0" fillId="0" borderId="0"/>
    <xf numFmtId="0" fontId="1" fillId="0" borderId="0"/>
    <xf numFmtId="0" fontId="5" fillId="0" borderId="0"/>
    <xf numFmtId="0" fontId="5" fillId="2" borderId="9" applyNumberFormat="0" applyFont="0" applyAlignment="0" applyProtection="0"/>
    <xf numFmtId="0" fontId="13" fillId="0" borderId="0" applyNumberFormat="0" applyFill="0" applyBorder="0" applyAlignment="0" applyProtection="0"/>
  </cellStyleXfs>
  <cellXfs count="104">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3" borderId="1" xfId="0" applyFill="1" applyBorder="1" applyProtection="1">
      <protection locked="0"/>
    </xf>
    <xf numFmtId="0" fontId="6" fillId="4" borderId="1" xfId="0" applyFont="1" applyFill="1" applyBorder="1" applyProtection="1"/>
    <xf numFmtId="0" fontId="6" fillId="0" borderId="1" xfId="0" applyFont="1" applyBorder="1" applyProtection="1"/>
    <xf numFmtId="0" fontId="0" fillId="0" borderId="0" xfId="0" applyProtection="1"/>
    <xf numFmtId="0" fontId="0" fillId="0" borderId="1" xfId="0" applyBorder="1" applyProtection="1"/>
    <xf numFmtId="0" fontId="0" fillId="0" borderId="1" xfId="0" applyFill="1" applyBorder="1" applyProtection="1"/>
    <xf numFmtId="0" fontId="6" fillId="0" borderId="0" xfId="0" applyFont="1" applyProtection="1"/>
    <xf numFmtId="0" fontId="7" fillId="0" borderId="1" xfId="0" applyFont="1" applyBorder="1"/>
    <xf numFmtId="0" fontId="7" fillId="0" borderId="0" xfId="0" applyFont="1" applyAlignment="1">
      <alignment vertical="top" wrapText="1"/>
    </xf>
    <xf numFmtId="0" fontId="7" fillId="0" borderId="1" xfId="0" applyFont="1" applyFill="1" applyBorder="1"/>
    <xf numFmtId="0" fontId="7" fillId="0" borderId="0" xfId="0" applyFont="1"/>
    <xf numFmtId="0" fontId="0" fillId="3" borderId="1" xfId="0" applyFill="1" applyBorder="1" applyProtection="1"/>
    <xf numFmtId="0" fontId="7" fillId="0" borderId="1" xfId="0" applyFont="1" applyFill="1" applyBorder="1"/>
    <xf numFmtId="0" fontId="8" fillId="5" borderId="2" xfId="0" applyFont="1" applyFill="1" applyBorder="1" applyAlignment="1">
      <alignment horizontal="left"/>
    </xf>
    <xf numFmtId="0" fontId="7" fillId="0" borderId="3" xfId="0" applyFont="1" applyFill="1" applyBorder="1"/>
    <xf numFmtId="0" fontId="7" fillId="0" borderId="4" xfId="0" applyFont="1" applyFill="1" applyBorder="1"/>
    <xf numFmtId="49" fontId="7" fillId="0" borderId="1" xfId="0" applyNumberFormat="1" applyFont="1" applyFill="1" applyBorder="1"/>
    <xf numFmtId="0" fontId="9" fillId="6" borderId="3" xfId="0" applyFont="1" applyFill="1" applyBorder="1" applyAlignment="1">
      <alignment vertical="top" wrapText="1"/>
    </xf>
    <xf numFmtId="0" fontId="9" fillId="6" borderId="4" xfId="0" applyFont="1" applyFill="1" applyBorder="1" applyAlignment="1">
      <alignment vertical="top" wrapText="1"/>
    </xf>
    <xf numFmtId="0" fontId="9" fillId="6" borderId="1" xfId="0" applyFont="1" applyFill="1" applyBorder="1" applyAlignment="1">
      <alignment vertical="top" wrapText="1"/>
    </xf>
    <xf numFmtId="15" fontId="7" fillId="0" borderId="1" xfId="0" applyNumberFormat="1" applyFont="1" applyFill="1" applyBorder="1"/>
    <xf numFmtId="14" fontId="7" fillId="0" borderId="1" xfId="0" applyNumberFormat="1" applyFont="1" applyFill="1" applyBorder="1"/>
    <xf numFmtId="14" fontId="10" fillId="0" borderId="0" xfId="0" applyNumberFormat="1" applyFont="1" applyBorder="1" applyAlignment="1">
      <alignment horizontal="center" vertical="center"/>
    </xf>
    <xf numFmtId="165" fontId="10" fillId="0" borderId="0" xfId="0" applyNumberFormat="1" applyFont="1" applyBorder="1" applyAlignment="1">
      <alignment horizontal="center" vertical="center"/>
    </xf>
    <xf numFmtId="0" fontId="10" fillId="0" borderId="0" xfId="0" applyFont="1" applyBorder="1" applyAlignment="1">
      <alignment horizontal="left" vertical="center"/>
    </xf>
    <xf numFmtId="166" fontId="0" fillId="0" borderId="0" xfId="0" applyNumberFormat="1"/>
    <xf numFmtId="167" fontId="9" fillId="6" borderId="1" xfId="0" applyNumberFormat="1" applyFont="1" applyFill="1" applyBorder="1" applyAlignment="1">
      <alignment vertical="top" wrapText="1"/>
    </xf>
    <xf numFmtId="167" fontId="7" fillId="0" borderId="1" xfId="0" applyNumberFormat="1" applyFont="1" applyFill="1" applyBorder="1"/>
    <xf numFmtId="167" fontId="7" fillId="0" borderId="0" xfId="0" applyNumberFormat="1" applyFont="1"/>
    <xf numFmtId="0" fontId="7" fillId="0" borderId="0" xfId="0" applyFont="1" applyBorder="1" applyAlignment="1">
      <alignment horizontal="right"/>
    </xf>
    <xf numFmtId="0" fontId="9" fillId="6" borderId="1" xfId="0" applyFont="1" applyFill="1" applyBorder="1" applyAlignment="1">
      <alignment horizontal="right"/>
    </xf>
    <xf numFmtId="0" fontId="8" fillId="0" borderId="0" xfId="0" applyFont="1"/>
    <xf numFmtId="0" fontId="0" fillId="4" borderId="1" xfId="0" applyFill="1" applyBorder="1" applyProtection="1"/>
    <xf numFmtId="0" fontId="0" fillId="0" borderId="0" xfId="0" applyFill="1" applyProtection="1"/>
    <xf numFmtId="0" fontId="11" fillId="8" borderId="1" xfId="0" applyFont="1" applyFill="1" applyBorder="1" applyAlignment="1">
      <alignment horizontal="center" vertical="center" wrapText="1"/>
    </xf>
    <xf numFmtId="0" fontId="11" fillId="8" borderId="1" xfId="0" applyFont="1" applyFill="1" applyBorder="1" applyAlignment="1">
      <alignment horizontal="center" vertical="center"/>
    </xf>
    <xf numFmtId="0" fontId="8" fillId="5" borderId="1" xfId="0" applyFont="1" applyFill="1" applyBorder="1" applyAlignment="1">
      <alignment horizontal="left"/>
    </xf>
    <xf numFmtId="0" fontId="11" fillId="8" borderId="5" xfId="0" applyFont="1" applyFill="1" applyBorder="1" applyAlignment="1">
      <alignment horizontal="center" vertical="center" wrapText="1"/>
    </xf>
    <xf numFmtId="0" fontId="8" fillId="7" borderId="1" xfId="0" applyFont="1" applyFill="1" applyBorder="1" applyAlignment="1">
      <alignment horizontal="left"/>
    </xf>
    <xf numFmtId="0" fontId="0" fillId="0" borderId="0" xfId="0" applyAlignment="1">
      <alignment horizontal="left" indent="1"/>
    </xf>
    <xf numFmtId="0" fontId="6" fillId="0" borderId="0" xfId="0" applyFont="1"/>
    <xf numFmtId="15" fontId="9" fillId="6" borderId="1" xfId="0" applyNumberFormat="1" applyFont="1" applyFill="1" applyBorder="1" applyAlignment="1">
      <alignment vertical="top" wrapText="1"/>
    </xf>
    <xf numFmtId="15" fontId="7" fillId="0" borderId="0" xfId="0" applyNumberFormat="1" applyFont="1"/>
    <xf numFmtId="0" fontId="4" fillId="5" borderId="10" xfId="0" applyFont="1" applyFill="1" applyBorder="1" applyAlignment="1">
      <alignment horizontal="left" vertical="center"/>
    </xf>
    <xf numFmtId="0" fontId="4" fillId="5" borderId="6" xfId="3" applyFont="1" applyFill="1" applyBorder="1" applyAlignment="1">
      <alignment horizontal="left" vertical="center"/>
    </xf>
    <xf numFmtId="0" fontId="4" fillId="5" borderId="6" xfId="0" applyFont="1" applyFill="1" applyBorder="1" applyAlignment="1">
      <alignment horizontal="left" vertical="center"/>
    </xf>
    <xf numFmtId="164" fontId="4" fillId="5" borderId="6" xfId="0" applyNumberFormat="1" applyFont="1" applyFill="1" applyBorder="1" applyAlignment="1">
      <alignment horizontal="left" vertical="center"/>
    </xf>
    <xf numFmtId="165" fontId="4" fillId="5" borderId="10" xfId="0" applyNumberFormat="1" applyFont="1" applyFill="1" applyBorder="1" applyAlignment="1">
      <alignment horizontal="left" vertical="center"/>
    </xf>
    <xf numFmtId="0" fontId="0" fillId="0" borderId="0" xfId="0" applyFont="1"/>
    <xf numFmtId="0" fontId="0" fillId="4" borderId="6" xfId="0" applyFont="1" applyFill="1" applyBorder="1" applyAlignment="1">
      <alignment horizontal="left"/>
    </xf>
    <xf numFmtId="0" fontId="0" fillId="4" borderId="4" xfId="0" applyFont="1" applyFill="1" applyBorder="1" applyAlignment="1">
      <alignment horizontal="left"/>
    </xf>
    <xf numFmtId="164" fontId="0" fillId="4" borderId="4" xfId="0" applyNumberFormat="1" applyFont="1" applyFill="1" applyBorder="1" applyAlignment="1">
      <alignment horizontal="left"/>
    </xf>
    <xf numFmtId="165" fontId="0" fillId="0" borderId="0" xfId="0" applyNumberFormat="1" applyFont="1"/>
    <xf numFmtId="0" fontId="0" fillId="0" borderId="0" xfId="0" applyFont="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4" borderId="7" xfId="0" applyFont="1" applyFill="1" applyBorder="1" applyAlignment="1">
      <alignment horizontal="left"/>
    </xf>
    <xf numFmtId="0" fontId="0" fillId="4" borderId="8" xfId="0" applyFont="1" applyFill="1" applyBorder="1" applyAlignment="1">
      <alignment horizontal="left"/>
    </xf>
    <xf numFmtId="0" fontId="0" fillId="0" borderId="0" xfId="0" applyFont="1" applyBorder="1"/>
    <xf numFmtId="165" fontId="0" fillId="0" borderId="0" xfId="0" applyNumberFormat="1" applyFont="1" applyBorder="1"/>
    <xf numFmtId="0" fontId="0" fillId="0" borderId="0" xfId="0" applyFont="1" applyBorder="1" applyAlignment="1">
      <alignment horizontal="left"/>
    </xf>
    <xf numFmtId="0" fontId="0" fillId="0" borderId="0" xfId="0" applyFont="1" applyAlignment="1"/>
    <xf numFmtId="164" fontId="0" fillId="0" borderId="0" xfId="0" applyNumberFormat="1" applyFont="1"/>
    <xf numFmtId="15" fontId="0" fillId="0" borderId="0" xfId="0" applyNumberFormat="1" applyFont="1" applyBorder="1"/>
    <xf numFmtId="15" fontId="0" fillId="0" borderId="0" xfId="0" applyNumberFormat="1" applyFont="1"/>
    <xf numFmtId="164" fontId="0" fillId="4" borderId="8" xfId="0" applyNumberFormat="1" applyFont="1" applyFill="1" applyBorder="1" applyAlignment="1">
      <alignment horizontal="left"/>
    </xf>
    <xf numFmtId="0" fontId="0" fillId="4" borderId="1" xfId="0" applyFont="1" applyFill="1" applyBorder="1"/>
    <xf numFmtId="0" fontId="0" fillId="4" borderId="1" xfId="0" applyFont="1" applyFill="1" applyBorder="1" applyAlignment="1"/>
    <xf numFmtId="164" fontId="0" fillId="4" borderId="1" xfId="0" applyNumberFormat="1" applyFont="1" applyFill="1" applyBorder="1" applyAlignment="1">
      <alignment horizontal="left"/>
    </xf>
    <xf numFmtId="49" fontId="9" fillId="6" borderId="1" xfId="0" applyNumberFormat="1" applyFont="1" applyFill="1" applyBorder="1" applyAlignment="1">
      <alignment vertical="top" wrapText="1"/>
    </xf>
    <xf numFmtId="49" fontId="7" fillId="0" borderId="0" xfId="0" applyNumberFormat="1" applyFont="1"/>
    <xf numFmtId="164" fontId="0" fillId="4" borderId="7" xfId="0" applyNumberFormat="1" applyFont="1" applyFill="1" applyBorder="1" applyAlignment="1">
      <alignment horizontal="left"/>
    </xf>
    <xf numFmtId="49" fontId="4" fillId="5" borderId="6" xfId="3" applyNumberFormat="1" applyFont="1" applyFill="1" applyBorder="1" applyAlignment="1">
      <alignment horizontal="left" vertical="center"/>
    </xf>
    <xf numFmtId="49" fontId="0" fillId="4" borderId="1" xfId="0" applyNumberFormat="1" applyFont="1" applyFill="1" applyBorder="1" applyAlignment="1">
      <alignment horizontal="left"/>
    </xf>
    <xf numFmtId="49" fontId="0" fillId="4" borderId="8" xfId="0" applyNumberFormat="1" applyFont="1" applyFill="1" applyBorder="1" applyAlignment="1">
      <alignment horizontal="left"/>
    </xf>
    <xf numFmtId="49" fontId="0" fillId="4" borderId="6" xfId="0" applyNumberFormat="1" applyFont="1" applyFill="1" applyBorder="1" applyAlignment="1">
      <alignment horizontal="left"/>
    </xf>
    <xf numFmtId="49" fontId="0" fillId="4" borderId="4" xfId="0" applyNumberFormat="1" applyFont="1" applyFill="1" applyBorder="1" applyAlignment="1">
      <alignment horizontal="left"/>
    </xf>
    <xf numFmtId="49" fontId="0" fillId="4" borderId="1" xfId="0" applyNumberFormat="1" applyFont="1" applyFill="1" applyBorder="1"/>
    <xf numFmtId="49" fontId="0" fillId="4" borderId="7" xfId="0" applyNumberFormat="1" applyFont="1" applyFill="1" applyBorder="1" applyAlignment="1">
      <alignment horizontal="left"/>
    </xf>
    <xf numFmtId="49" fontId="0" fillId="3" borderId="1" xfId="0" applyNumberFormat="1" applyFill="1" applyBorder="1" applyProtection="1"/>
    <xf numFmtId="0" fontId="6" fillId="4" borderId="5" xfId="0" applyFont="1" applyFill="1" applyBorder="1" applyProtection="1"/>
    <xf numFmtId="0" fontId="7" fillId="0" borderId="1" xfId="0" applyFont="1" applyFill="1" applyBorder="1" applyAlignment="1">
      <alignment horizontal="right"/>
    </xf>
    <xf numFmtId="0" fontId="0" fillId="0" borderId="0" xfId="0" applyFill="1" applyAlignment="1">
      <alignment horizontal="left" indent="1"/>
    </xf>
    <xf numFmtId="0" fontId="7" fillId="0" borderId="0" xfId="0" applyFont="1" applyFill="1"/>
    <xf numFmtId="0" fontId="7" fillId="0" borderId="0" xfId="0" applyFont="1" applyFill="1" applyBorder="1" applyAlignment="1">
      <alignment horizontal="right"/>
    </xf>
    <xf numFmtId="167" fontId="7" fillId="0" borderId="0" xfId="0" applyNumberFormat="1" applyFont="1" applyFill="1"/>
    <xf numFmtId="15" fontId="7" fillId="0" borderId="0" xfId="0" applyNumberFormat="1" applyFont="1" applyFill="1"/>
    <xf numFmtId="49" fontId="7" fillId="0" borderId="0" xfId="0" applyNumberFormat="1" applyFont="1" applyFill="1"/>
    <xf numFmtId="0" fontId="0" fillId="7" borderId="6" xfId="0" applyFont="1" applyFill="1" applyBorder="1" applyAlignment="1">
      <alignment horizontal="left"/>
    </xf>
    <xf numFmtId="0" fontId="13" fillId="0" borderId="0" xfId="4" applyProtection="1"/>
    <xf numFmtId="0" fontId="0" fillId="4" borderId="4" xfId="0" applyFont="1" applyFill="1" applyBorder="1"/>
    <xf numFmtId="0" fontId="0" fillId="0" borderId="1" xfId="0" applyFont="1" applyBorder="1"/>
    <xf numFmtId="0" fontId="0" fillId="0" borderId="1" xfId="0" applyFont="1" applyFill="1" applyBorder="1" applyAlignment="1">
      <alignment horizontal="right"/>
    </xf>
    <xf numFmtId="165" fontId="0" fillId="0" borderId="1" xfId="0" applyNumberFormat="1" applyFont="1" applyBorder="1"/>
    <xf numFmtId="0" fontId="0" fillId="0" borderId="1" xfId="0" applyFont="1" applyBorder="1" applyAlignment="1">
      <alignment horizontal="left"/>
    </xf>
    <xf numFmtId="0" fontId="0" fillId="0" borderId="1" xfId="0" applyFont="1" applyFill="1" applyBorder="1" applyAlignment="1">
      <alignment horizontal="left"/>
    </xf>
    <xf numFmtId="164" fontId="0" fillId="0" borderId="1" xfId="0" applyNumberFormat="1" applyFont="1" applyFill="1" applyBorder="1" applyAlignment="1">
      <alignment horizontal="left"/>
    </xf>
    <xf numFmtId="0" fontId="0" fillId="0" borderId="1" xfId="0" applyNumberFormat="1" applyFont="1" applyBorder="1" applyAlignment="1"/>
    <xf numFmtId="0" fontId="0" fillId="0" borderId="4" xfId="0" applyFont="1" applyFill="1" applyBorder="1" applyAlignment="1">
      <alignment horizontal="left"/>
    </xf>
    <xf numFmtId="49" fontId="0" fillId="0" borderId="1" xfId="0" applyNumberFormat="1" applyFont="1" applyBorder="1"/>
  </cellXfs>
  <cellStyles count="5">
    <cellStyle name="Hyperlink" xfId="4" builtinId="8"/>
    <cellStyle name="Normal" xfId="0" builtinId="0"/>
    <cellStyle name="Normal 2" xfId="1"/>
    <cellStyle name="Normal 3" xfId="2"/>
    <cellStyle name="Note" xfId="3" builtinId="10"/>
  </cellStyles>
  <dxfs count="36">
    <dxf>
      <font>
        <color rgb="FF9C6500"/>
      </font>
      <fill>
        <patternFill>
          <bgColor rgb="FFFFEB9C"/>
        </patternFill>
      </fill>
    </dxf>
    <dxf>
      <font>
        <color rgb="FF006100"/>
      </font>
      <fill>
        <patternFill>
          <bgColor rgb="FFC6EFCE"/>
        </patternFill>
      </fill>
    </dxf>
    <dxf>
      <fill>
        <patternFill>
          <bgColor theme="5" tint="0.59996337778862885"/>
        </patternFill>
      </fill>
    </dxf>
    <dxf>
      <font>
        <color theme="0"/>
      </font>
    </dxf>
    <dxf>
      <font>
        <color theme="0"/>
      </font>
    </dxf>
    <dxf>
      <font>
        <color rgb="FF9C0006"/>
      </font>
      <fill>
        <patternFill>
          <bgColor rgb="FFFFC7CE"/>
        </patternFill>
      </fill>
    </dxf>
    <dxf>
      <font>
        <color rgb="FF9C0006"/>
      </font>
      <fill>
        <patternFill>
          <bgColor rgb="FFFFC7CE"/>
        </patternFill>
      </fill>
    </dxf>
    <dxf>
      <fill>
        <patternFill>
          <bgColor theme="5" tint="0.79998168889431442"/>
        </patternFill>
      </fill>
    </dxf>
    <dxf>
      <font>
        <color rgb="FF006100"/>
      </font>
      <fill>
        <patternFill>
          <bgColor rgb="FFC6EFCE"/>
        </patternFill>
      </fill>
    </dxf>
    <dxf>
      <font>
        <b val="0"/>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FFFF00"/>
        </patternFill>
      </fill>
      <border diagonalUp="0" diagonalDown="0">
        <left/>
        <right style="thin">
          <color indexed="64"/>
        </right>
        <top style="thin">
          <color indexed="64"/>
        </top>
        <bottom style="thin">
          <color indexed="64"/>
        </bottom>
        <vertical/>
        <horizontal/>
      </border>
    </dxf>
    <dxf>
      <font>
        <b val="0"/>
      </font>
      <alignment horizontal="left" textRotation="0" wrapText="0" justifyLastLine="0" shrinkToFit="0" readingOrder="0"/>
    </dxf>
    <dxf>
      <font>
        <b val="0"/>
      </font>
      <numFmt numFmtId="165" formatCode="[$₹-4009]&quot; &quot;#,##0.00"/>
    </dxf>
    <dxf>
      <font>
        <b val="0"/>
      </font>
    </dxf>
    <dxf>
      <font>
        <b val="0"/>
        <i val="0"/>
        <strike val="0"/>
        <condense val="0"/>
        <extend val="0"/>
        <outline val="0"/>
        <shadow val="0"/>
        <u val="none"/>
        <vertAlign val="baseline"/>
        <sz val="11"/>
        <color theme="1"/>
        <name val="Calibri"/>
        <scheme val="minor"/>
      </font>
      <numFmt numFmtId="164" formatCode="[$-409]d\-mmm\-yy;@"/>
      <fill>
        <patternFill patternType="none">
          <fgColor indexed="64"/>
          <bgColor indexed="65"/>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4" formatCode="[$-409]d\-mmm\-yy;@"/>
      <fill>
        <patternFill patternType="none">
          <fgColor indexed="64"/>
          <bgColor indexed="65"/>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font>
      <numFmt numFmtId="30" formatCode="@"/>
      <border diagonalUp="0" diagonalDown="0">
        <left style="thin">
          <color indexed="64"/>
        </left>
        <right style="thin">
          <color indexed="64"/>
        </right>
        <top style="thin">
          <color indexed="64"/>
        </top>
        <bottom style="thin">
          <color indexed="64"/>
        </bottom>
      </border>
    </dxf>
    <dxf>
      <font>
        <b val="0"/>
      </font>
      <numFmt numFmtId="30" formatCode="@"/>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dxf>
    <dxf>
      <font>
        <b val="0"/>
      </font>
      <numFmt numFmtId="0" formatCode="General"/>
      <border diagonalUp="0" diagonalDown="0">
        <left style="thin">
          <color indexed="64"/>
        </left>
        <right style="thin">
          <color indexed="64"/>
        </right>
        <top style="thin">
          <color indexed="64"/>
        </top>
        <bottom style="thin">
          <color indexed="64"/>
        </bottom>
      </border>
    </dxf>
    <dxf>
      <font>
        <b val="0"/>
      </font>
    </dxf>
    <dxf>
      <border outline="0">
        <bottom style="thin">
          <color rgb="FF000000"/>
        </bottom>
      </border>
    </dxf>
    <dxf>
      <font>
        <b val="0"/>
        <i val="0"/>
        <strike val="0"/>
        <condense val="0"/>
        <extend val="0"/>
        <outline val="0"/>
        <shadow val="0"/>
        <u val="none"/>
        <vertAlign val="baseline"/>
        <sz val="10"/>
        <color indexed="8"/>
        <name val="Calibri"/>
        <scheme val="none"/>
      </font>
      <fill>
        <patternFill patternType="solid">
          <fgColor indexed="64"/>
          <bgColor theme="9" tint="0.59999389629810485"/>
        </patternFill>
      </fill>
      <alignment horizontal="left" vertical="center" textRotation="0" wrapText="0" indent="0" justifyLastLine="0" shrinkToFit="0" readingOrder="0"/>
      <border diagonalUp="0" diagonalDown="0" outline="0">
        <left style="thin">
          <color indexed="64"/>
        </left>
        <right style="thin">
          <color indexed="64"/>
        </right>
        <top/>
        <bottom/>
      </border>
    </dxf>
    <dxf>
      <numFmt numFmtId="166" formatCode="&quot; &quot;&quot; &quot;#,##0.00"/>
    </dxf>
    <dxf>
      <numFmt numFmtId="166" formatCode="&quot; &quot;&quot; &quot;#,##0.00"/>
    </dxf>
    <dxf>
      <numFmt numFmtId="166" formatCode="&quot; &quot;&quot; &quot;#,##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16</xdr:col>
          <xdr:colOff>419100</xdr:colOff>
          <xdr:row>1</xdr:row>
          <xdr:rowOff>66675</xdr:rowOff>
        </xdr:from>
        <xdr:to>
          <xdr:col>17</xdr:col>
          <xdr:colOff>1790700</xdr:colOff>
          <xdr:row>4</xdr:row>
          <xdr:rowOff>28575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To QIF</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ob Oommen" refreshedDate="42773.00872164352" createdVersion="4" refreshedVersion="6" minRefreshableVersion="3" recordCount="250">
  <cacheSource type="worksheet">
    <worksheetSource ref="A1:O251" sheet="Auction Data"/>
  </cacheSource>
  <cacheFields count="15">
    <cacheField name="Prayer Group" numFmtId="0">
      <sharedItems containsNonDate="0" containsString="0" containsBlank="1"/>
    </cacheField>
    <cacheField name="Enrolment" numFmtId="0">
      <sharedItems containsNonDate="0" containsString="0" containsBlank="1"/>
    </cacheField>
    <cacheField name="Brought By" numFmtId="0">
      <sharedItems containsNonDate="0" containsBlank="1" count="86">
        <m/>
        <s v="Abby Abraham" u="1"/>
        <s v="Sinu Ommen" u="1"/>
        <s v="Mathew K V" u="1"/>
        <s v="Kirby Thomas" u="1"/>
        <s v="Shaji John" u="1"/>
        <s v="Jacob Verghis" u="1"/>
        <s v="Chacko V M" u="1"/>
        <s v="Mathew C D" u="1"/>
        <s v="Joseph George" u="1"/>
        <s v="Mathew M M" u="1"/>
        <s v="Kurian Thomas" u="1"/>
        <s v="Abraj Thomas Vettuparampil" u="1"/>
        <s v="Sam T Mathew" u="1"/>
        <s v="Tony Mammen John" u="1"/>
        <s v="Simon George" u="1"/>
        <s v="Robin Verghese" u="1"/>
        <s v="Vinu Varghese" u="1"/>
        <s v="Shaji Idicula Varghese" u="1"/>
        <s v="Roji Varghese" u="1"/>
        <s v="Binu Philip" u="1"/>
        <s v="Ginu Abraham Isaac" u="1"/>
        <s v="Shaji Jose" u="1"/>
        <s v="Sachith Abraham" u="1"/>
        <s v="Jose Thomas" u="1"/>
        <s v="Thomas K Kovoor" u="1"/>
        <s v="Ravi Eipe" u="1"/>
        <s v="Cherian Thomas" u="1"/>
        <s v="Samuel Paul" u="1"/>
        <s v="Benoy George Chacko" u="1"/>
        <s v="Bliss M Pappan" u="1"/>
        <s v="Jacob Thomas" u="1"/>
        <s v="Siju K Jacob" u="1"/>
        <s v="Joel Jacob George" u="1"/>
        <s v="Biju S Kunjukunju" u="1"/>
        <s v="Pradeep Abraham" u="1"/>
        <s v="Jessin Mathai" u="1"/>
        <s v="Anish Baby" u="1"/>
        <s v="Mathew Kutty N K" u="1"/>
        <s v="Sinu John" u="1"/>
        <s v="Abraham M A" u="1"/>
        <s v="Dan Philip Thomas" u="1"/>
        <s v="Joby John" u="1"/>
        <s v="Mathew T C" u="1"/>
        <s v="Mary Jos Mathew" u="1"/>
        <s v="Sunil Chacko" u="1"/>
        <s v="Bobby Mathew" u="1"/>
        <s v="Vinod Jacob Mathew" u="1"/>
        <s v="John George" u="1"/>
        <s v="Lenchy Easow Varughese" u="1"/>
        <s v="Kurien K Eapen" u="1"/>
        <s v="Aleyamma Abraham" u="1"/>
        <s v="Renny I John" u="1"/>
        <s v="Paul Mathai" u="1"/>
        <s v="Blessy Susan Biji" u="1"/>
        <s v="Alex G Manappurathu" u="1"/>
        <s v="Job Abraham" u="1"/>
        <s v="Vineeth P K" u="1"/>
        <s v="Binoj Jacob Mathew" u="1"/>
        <s v="Bobby Alex" u="1"/>
        <s v="Majush K Philip" u="1"/>
        <s v="George P G" u="1"/>
        <s v="Saiju George Mathew" u="1"/>
        <s v="Mathew Varughese" u="1"/>
        <s v="Joshy K Joseph" u="1"/>
        <s v="Anoob Oommen" u="1"/>
        <s v="Biju John" u="1"/>
        <s v="Philip Mathew" u="1"/>
        <s v="Mathew Baby Kutty" u="1"/>
        <s v="Jacob John" u="1"/>
        <s v="Issac P Kurien" u="1"/>
        <s v="Chacko P T" u="1"/>
        <s v="Elizabeth Samuel" u="1"/>
        <s v="Steffi Elizabeth Jose" u="1"/>
        <s v="Regi Mathew" u="1"/>
        <s v="Joseph Thomas S" u="1"/>
        <s v="Philip K V" u="1"/>
        <s v="Chacko K V" u="1"/>
        <s v="Thomas Scariah" u="1"/>
        <s v="Church" u="1"/>
        <s v="Verghese K" u="1"/>
        <s v="Abraham A J" u="1"/>
        <s v="Roby Joseph" u="1"/>
        <s v="Mathew Easow Jacob" u="1"/>
        <s v="Vazhayil Jome Jacob" u="1"/>
        <s v="Jeffin Mammen" u="1"/>
      </sharedItems>
    </cacheField>
    <cacheField name="Item Name" numFmtId="0">
      <sharedItems containsNonDate="0" containsString="0" containsBlank="1"/>
    </cacheField>
    <cacheField name="Quantity" numFmtId="0">
      <sharedItems containsNonDate="0" containsString="0" containsBlank="1"/>
    </cacheField>
    <cacheField name="Item Code" numFmtId="0">
      <sharedItems containsNonDate="0" containsBlank="1" count="246">
        <m/>
        <s v="K23B" u="1"/>
        <s v="K7B" u="1"/>
        <s v="K18A" u="1"/>
        <s v="K24B" u="1"/>
        <s v="K19A" u="1"/>
        <s v="S-13A" u="1"/>
        <s v="S-16B" u="1"/>
        <s v="S-23A" u="1"/>
        <s v="K17G" u="1"/>
        <s v="K24H" u="1"/>
        <s v="B2A" u="1"/>
        <s v="B2B" u="1"/>
        <s v="B2C" u="1"/>
        <s v="S-19A" u="1"/>
        <s v="H5A" u="1"/>
        <s v="K24N" u="1"/>
        <s v="H5B" u="1"/>
        <s v="S-6D" u="1"/>
        <s v="K24T" u="1"/>
        <s v="B20A" u="1"/>
        <s v="B21A" u="1"/>
        <s v="B22A" u="1"/>
        <s v="B11F" u="1"/>
        <s v="B23A" u="1"/>
        <s v="B24A" u="1"/>
        <s v="B13F" u="1"/>
        <s v="B25A" u="1"/>
        <s v="B8A" u="1"/>
        <s v="K12B" u="1"/>
        <s v="K6A" u="1"/>
        <s v="K13B" u="1"/>
        <s v="K6B" u="1"/>
        <s v="K14B" u="1"/>
        <s v="K16B" u="1"/>
        <s v="S-21B" u="1"/>
        <s v="K18B" u="1"/>
        <s v="K24C" u="1"/>
        <s v="K19B" u="1"/>
        <s v="B1A" u="1"/>
        <s v="S-14A" u="1"/>
        <s v="B1B" u="1"/>
        <s v="S-17B" u="1"/>
        <s v="S-24A" u="1"/>
        <s v="K17H" u="1"/>
        <s v="K24I" u="1"/>
        <s v="H4A" u="1"/>
        <s v="K24O" u="1"/>
        <s v="S-6E" u="1"/>
        <s v="B10A" u="1"/>
        <s v="B11A" u="1"/>
        <s v="B12A" u="1"/>
        <s v="K24U" u="1"/>
        <s v="B13A" u="1"/>
        <s v="B14A" u="1"/>
        <s v="B15A" u="1"/>
        <s v="B21B" u="1"/>
        <s v="B16A" u="1"/>
        <s v="B7A" u="1"/>
        <s v="B11G" u="1"/>
        <s v="B17A" u="1"/>
        <s v="B7B" u="1"/>
        <s v="K5A" u="1"/>
        <s v="B18A" u="1"/>
        <s v="B24B" u="1"/>
        <s v="K5B" u="1"/>
        <s v="B19A" u="1"/>
        <s v="K5C" u="1"/>
        <s v="K5D" u="1"/>
        <s v="K12C" u="1"/>
        <s v="K5E" u="1"/>
        <s v="K13C" u="1"/>
        <s v="K5F" u="1"/>
        <s v="K14C" u="1"/>
        <s v="S-22D" u="1"/>
        <s v="K5G" u="1"/>
        <s v="K16C" u="1"/>
        <s v="S-12B" u="1"/>
        <s v="S-22B" u="1"/>
        <s v="K18C" u="1"/>
        <s v="K24D" u="1"/>
        <s v="H3A" u="1"/>
        <s v="S-15A" u="1"/>
        <s v="H3B" u="1"/>
        <s v="S-18B" u="1"/>
        <s v="S-25A" u="1"/>
        <s v="K17I" u="1"/>
        <s v="K24J" u="1"/>
        <s v="K24P" u="1"/>
        <s v="S-6F" u="1"/>
        <s v="B10B" u="1"/>
        <s v="B11B" u="1"/>
        <s v="B12B" u="1"/>
        <s v="K24V" u="1"/>
        <s v="B6A" u="1"/>
        <s v="B13B" u="1"/>
        <s v="B6B" u="1"/>
        <s v="K4A" u="1"/>
        <s v="B14B" u="1"/>
        <s v="B6C" u="1"/>
        <s v="K4B" u="1"/>
        <s v="B15B" u="1"/>
        <s v="K4C" u="1"/>
        <s v="B16B" u="1"/>
        <s v="H9A" u="1"/>
        <s v="B11H" u="1"/>
        <s v="K4D" u="1"/>
        <s v="H9B" u="1"/>
        <s v="K4E" u="1"/>
        <s v="B18B" u="1"/>
        <s v="B24C" u="1"/>
        <s v="B19B" u="1"/>
        <s v="K12D" u="1"/>
        <s v="K13D" u="1"/>
        <s v="S-10A" u="1"/>
        <s v="K16D" u="1"/>
        <s v="H2A" u="1"/>
        <s v="S-20A" u="1"/>
        <s v="H2B" u="1"/>
        <s v="S-23B" u="1"/>
        <s v="K18D" u="1"/>
        <s v="K24E" u="1"/>
        <s v="S-1A" u="1"/>
        <s v="S-2A" u="1"/>
        <s v="S-16A" u="1"/>
        <s v="S-3A" u="1"/>
        <s v="S-26A" u="1"/>
        <s v="K17J" u="1"/>
        <s v="S-4A" u="1"/>
        <s v="K24K" u="1"/>
        <s v="S-5A" u="1"/>
        <s v="S-6A" u="1"/>
        <s v="S-7A" u="1"/>
        <s v="S-8A" u="1"/>
        <s v="S-9A" u="1"/>
        <s v="K24Q" u="1"/>
        <s v="B5B" u="1"/>
        <s v="K3A" u="1"/>
        <s v="B10C" u="1"/>
        <s v="B5C" u="1"/>
        <s v="K3B" u="1"/>
        <s v="B11C" u="1"/>
        <s v="B5D" u="1"/>
        <s v="K3C" u="1"/>
        <s v="K24W" u="1"/>
        <s v="B5E" u="1"/>
        <s v="H8A" u="1"/>
        <s v="K3D" u="1"/>
        <s v="B13C" u="1"/>
        <s v="H8B" u="1"/>
        <s v="H8C" u="1"/>
        <s v="H8D" u="1"/>
        <s v="B16C" u="1"/>
        <s v="B11I" u="1"/>
        <s v="B24D" u="1"/>
        <s v="B19C" u="1"/>
        <s v="K12E" u="1"/>
        <s v="H1A" u="1"/>
        <s v="K13E" u="1"/>
        <s v="S-21C" u="1"/>
        <s v="H1B" u="1"/>
        <s v="S-11A" u="1"/>
        <s v="K16E" u="1"/>
        <s v="S-14B" u="1"/>
        <s v="S-21A" u="1"/>
        <s v="S-24B" u="1"/>
        <s v="K18E" u="1"/>
        <s v="K24F" u="1"/>
        <s v="K9A" u="1"/>
        <s v="K9B" u="1"/>
        <s v="S-2B" u="1"/>
        <s v="S-17A" u="1"/>
        <s v="S-3B" u="1"/>
        <s v="S-27A" u="1"/>
        <s v="K17K" u="1"/>
        <s v="S-4B" u="1"/>
        <s v="K24L" u="1"/>
        <s v="S-5B" u="1"/>
        <s v="H10A" u="1"/>
        <s v="S-6B" u="1"/>
        <s v="S-7B" u="1"/>
        <s v="B4A" u="1"/>
        <s v="S-8B" u="1"/>
        <s v="B4B" u="1"/>
        <s v="S-9B" u="1"/>
        <s v="K2A" u="1"/>
        <s v="B4C" u="1"/>
        <s v="K24R" u="1"/>
        <s v="K2B" u="1"/>
        <s v="K2C" u="1"/>
        <s v="H7A" u="1"/>
        <s v="K2D" u="1"/>
        <s v="H7B" u="1"/>
        <s v="B11D" u="1"/>
        <s v="K24X" u="1"/>
        <s v="B13D" u="1"/>
        <s v="B16D" u="1"/>
        <s v="B11J" u="1"/>
        <s v="N-1A" u="1"/>
        <s v="N-2A" u="1"/>
        <s v="K20A" u="1"/>
        <s v="N-3A" u="1"/>
        <s v="K21A" u="1"/>
        <s v="K22A" u="1"/>
        <s v="K23A" u="1"/>
        <s v="K12F" u="1"/>
        <s v="S-12C" u="1"/>
        <s v="K24A" u="1"/>
        <s v="S-22C" u="1"/>
        <s v="K8A" u="1"/>
        <s v="S-12A" u="1"/>
        <s v="K8B" u="1"/>
        <s v="K16F" u="1"/>
        <s v="S-22A" u="1"/>
        <s v="K8C" u="1"/>
        <s v="S-18C" u="1"/>
        <s v="S-25B" u="1"/>
        <s v="K18F" u="1"/>
        <s v="K24G" u="1"/>
        <s v="S-18A" u="1"/>
        <s v="S-3C" u="1"/>
        <s v="S-28A" u="1"/>
        <s v="B3A" u="1"/>
        <s v="K24M" u="1"/>
        <s v="K1A" u="1"/>
        <s v="H10B" u="1"/>
        <s v="S-6C" u="1"/>
        <s v="K1B" u="1"/>
        <s v="H6A" u="1"/>
        <s v="S-9C" u="1"/>
        <s v="K24S" u="1"/>
        <s v="B11E" u="1"/>
        <s v="K24Y" u="1"/>
        <s v="B13E" u="1"/>
        <s v="K10A" u="1"/>
        <s v="K11A" u="1"/>
        <s v="K12A" u="1"/>
        <s v="N-1B" u="1"/>
        <s v="K13A" u="1"/>
        <s v="N-2B" u="1"/>
        <s v="K14A" u="1"/>
        <s v="B9A" u="1"/>
        <s v="K15A" u="1"/>
        <s v="K16A" u="1"/>
        <s v="K7A" u="1"/>
        <s v="S-10B" u="1"/>
      </sharedItems>
    </cacheField>
    <cacheField name="Item Cost" numFmtId="0">
      <sharedItems containsNonDate="0" containsString="0" containsBlank="1"/>
    </cacheField>
    <cacheField name="Purchased By" numFmtId="0">
      <sharedItems containsNonDate="0" containsBlank="1" count="94">
        <m/>
        <s v="Ajesh Baby" u="1"/>
        <s v="Sinu Ommen" u="1"/>
        <s v="Mathew K V" u="1"/>
        <s v="Kirby Thomas" u="1"/>
        <s v="Jacob Verghis" u="1"/>
        <s v="Chacko V M" u="1"/>
        <s v="Mathew C D" u="1"/>
        <s v="Jacob S Joshua" u="1"/>
        <s v="Joseph George" u="1"/>
        <s v="Mathew M M" u="1"/>
        <s v="Abraj Thomas Vettuparampil" u="1"/>
        <s v="Sam T Mathew" u="1"/>
        <s v="Tony Mammen John" u="1"/>
        <s v="Simon George" u="1"/>
        <s v="Thomas Mathew" u="1"/>
        <s v="Vinu Varghese" u="1"/>
        <s v="Sheela Mathew *" u="1"/>
        <s v="Shaji Idicula Varghese" u="1"/>
        <s v="Ajesh Mathew" u="1"/>
        <s v="Roji Varghese" u="1"/>
        <s v="Binu Philip" u="1"/>
        <s v="Ginu Abraham Isaac" u="1"/>
        <s v="Bobby (Youth)" u="1"/>
        <s v="Sachith Abraham" u="1"/>
        <s v="Jose Thomas" u="1"/>
        <s v="Thomas K Kovoor" u="1"/>
        <s v="Cherian Thomas" u="1"/>
        <s v="Samuel Paul" u="1"/>
        <s v="Benoy George Chacko" u="1"/>
        <s v="Bliss M Pappan" u="1"/>
        <s v="Sarish (C/O Rev Issac)" u="1"/>
        <s v="Elsa (Choir)" u="1"/>
        <s v="Robin T Mathew" u="1"/>
        <s v="Joel Jacob George" u="1"/>
        <s v="Biju S Kunjukunju" u="1"/>
        <s v="Pradeep Abraham" u="1"/>
        <s v="Ajit Abraham Isaac" u="1"/>
        <s v="Jacob Oommen" u="1"/>
        <s v="Anish Baby" u="1"/>
        <s v="Rony V Tharakan" u="1"/>
        <s v="Mathew Kutty N K" u="1"/>
        <s v="Dan Philip Thomas" u="1"/>
        <s v="Joby John" u="1"/>
        <s v="Joji M John" u="1"/>
        <s v="Mathew T C" u="1"/>
        <s v="Varghese Mathew" u="1"/>
        <s v="Abraham V K" u="1"/>
        <s v="Mary Jos Mathew" u="1"/>
        <s v="Sunil Chacko" u="1"/>
        <s v="Philip Thomas" u="1"/>
        <s v="Bobby Mathew" u="1"/>
        <s v="Vinod Jacob Mathew" u="1"/>
        <s v="John George" u="1"/>
        <s v="Lenchy Easow Varughese" u="1"/>
        <s v="Kurien K Eapen" u="1"/>
        <s v="Subhash A G" u="1"/>
        <s v="Vincent John" u="1"/>
        <s v="Saramma Thankan" u="1"/>
        <s v="Aleyamma Abraham" u="1"/>
        <s v="Renny I John" u="1"/>
        <s v="Blessy Susan Biji" u="1"/>
        <s v="Alex G Manappurathu" u="1"/>
        <s v="Justin Johnson" u="1"/>
        <s v="Binoj Jacob Mathew" u="1"/>
        <s v="Justin (Choir)" u="1"/>
        <s v="Sumodh Joseph Cherian" u="1"/>
        <s v="Majush K Philip" u="1"/>
        <s v="Abraham Jacob Abraham" u="1"/>
        <s v="Saiju George Mathew" u="1"/>
        <s v="Mathew Varughese" u="1"/>
        <s v="Linu Mathew Koshy" u="1"/>
        <s v="Bob Thomas : 9844445289" u="1"/>
        <s v="Joshy K Joseph" u="1"/>
        <s v="Anoob Oommen" u="1"/>
        <s v="Sheela Mathew" u="1"/>
        <s v="Biju John" u="1"/>
        <s v="Philip Mathew" u="1"/>
        <s v="Mathew Baby Kutty" u="1"/>
        <s v="Issac P Kurien" u="1"/>
        <s v="Chacko P T" u="1"/>
        <s v="Subin K V" u="1"/>
        <s v="Elizabeth Samuel" u="1"/>
        <s v="Regi Mathew" u="1"/>
        <s v="Thomas Scariah" u="1"/>
        <s v="Unknown" u="1"/>
        <s v="Abraham A J" u="1"/>
        <s v="Benjie Thomas Blesson" u="1"/>
        <s v="Mathew Easow Jacob" u="1"/>
        <s v="Binu Koshy" u="1"/>
        <s v="Justin Johnson *" u="1"/>
        <s v="Vazhayil Jome Jacob" u="1"/>
        <s v="Jeffin Mammen" u="1"/>
        <s v="Arun Philip Varghese" u="1"/>
      </sharedItems>
    </cacheField>
    <cacheField name="Non Member Name" numFmtId="0">
      <sharedItems containsNonDate="0" containsString="0" containsBlank="1"/>
    </cacheField>
    <cacheField name="Sold Price" numFmtId="0">
      <sharedItems containsNonDate="0" containsString="0" containsBlank="1"/>
    </cacheField>
    <cacheField name="Receipt No" numFmtId="0">
      <sharedItems containsNonDate="0" containsString="0" containsBlank="1"/>
    </cacheField>
    <cacheField name="Payment" numFmtId="0">
      <sharedItems containsNonDate="0" containsString="0" containsBlank="1"/>
    </cacheField>
    <cacheField name="Remarks" numFmtId="0">
      <sharedItems containsNonDate="0" containsString="0" containsBlank="1"/>
    </cacheField>
    <cacheField name="Address of Brought By" numFmtId="0">
      <sharedItems/>
    </cacheField>
    <cacheField name="Address of Purchased By"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ob Oommen" refreshedDate="42773.009186921299" createdVersion="4" refreshedVersion="6" minRefreshableVersion="3" recordCount="599">
  <cacheSource type="worksheet">
    <worksheetSource ref="A1:T600" sheet="Receipts"/>
  </cacheSource>
  <cacheFields count="20">
    <cacheField name="Cover No" numFmtId="0">
      <sharedItems containsNonDate="0" containsString="0" containsBlank="1"/>
    </cacheField>
    <cacheField name="Sal" numFmtId="0">
      <sharedItems containsBlank="1"/>
    </cacheField>
    <cacheField name="Name" numFmtId="0">
      <sharedItems containsNonDate="0" containsString="0" containsBlank="1"/>
    </cacheField>
    <cacheField name="Amount" numFmtId="167">
      <sharedItems containsNonDate="0" containsString="0" containsBlank="1"/>
    </cacheField>
    <cacheField name="Date" numFmtId="15">
      <sharedItems containsNonDate="0" containsDate="1" containsString="0" containsBlank="1" minDate="2013-07-02T00:00:00" maxDate="2014-04-01T00:00:00" count="30">
        <m/>
        <d v="2014-02-02T00:00:00" u="1"/>
        <d v="2013-08-25T00:00:00" u="1"/>
        <d v="2013-08-18T00:00:00" u="1"/>
        <d v="2014-03-31T00:00:00" u="1"/>
        <d v="2013-08-04T00:00:00" u="1"/>
        <d v="2013-09-09T00:00:00" u="1"/>
        <d v="2014-01-19T00:00:00" u="1"/>
        <d v="2014-01-12T00:00:00" u="1"/>
        <d v="2014-01-05T00:00:00" u="1"/>
        <d v="2014-03-08T00:00:00" u="1"/>
        <d v="2013-12-22T00:00:00" u="1"/>
        <d v="2014-02-22T00:00:00" u="1"/>
        <d v="2013-11-10T00:00:00" u="1"/>
        <d v="2013-07-02T00:00:00" u="1"/>
        <d v="2013-12-15T00:00:00" u="1"/>
        <d v="2014-03-20T00:00:00" u="1"/>
        <d v="2013-12-01T00:00:00" u="1"/>
        <d v="2014-03-06T00:00:00" u="1"/>
        <d v="2013-12-25T00:00:00" u="1"/>
        <d v="2014-03-30T00:00:00" u="1"/>
        <d v="2013-10-27T00:00:00" u="1"/>
        <d v="2014-03-23T00:00:00" u="1"/>
        <d v="2014-03-16T00:00:00" u="1"/>
        <d v="2014-03-09T00:00:00" u="1"/>
        <d v="2013-09-01T00:00:00" u="1"/>
        <d v="2014-02-23T00:00:00" u="1"/>
        <d v="2014-03-02T00:00:00" u="1"/>
        <d v="2013-10-25T00:00:00" u="1"/>
        <d v="2014-02-16T00:00:00" u="1"/>
      </sharedItems>
    </cacheField>
    <cacheField name="Receipt No" numFmtId="0">
      <sharedItems containsNonDate="0" containsString="0" containsBlank="1"/>
    </cacheField>
    <cacheField name="Account" numFmtId="0">
      <sharedItems containsNonDate="0" containsBlank="1" count="11">
        <m/>
        <s v="Tithe" u="1"/>
        <s v="One Day Income" u="1"/>
        <s v="Baptism Thanks Giving" u="1"/>
        <s v="Harvest Festival Item for Auction" u="1"/>
        <s v="Subscription Arrears" u="1"/>
        <s v="Harvest Festival Auction" u="1"/>
        <s v="Miscellaneous Contributions" u="1"/>
        <s v="Harvest Festival Donation" u="1"/>
        <s v="Subscription" u="1"/>
        <s v="Land and Building Fund" u="1"/>
      </sharedItems>
    </cacheField>
    <cacheField name="Type" numFmtId="0">
      <sharedItems containsNonDate="0" containsString="0" containsBlank="1"/>
    </cacheField>
    <cacheField name="Bank/ Item Name" numFmtId="0">
      <sharedItems containsNonDate="0" containsString="0" containsBlank="1"/>
    </cacheField>
    <cacheField name="Check No/Item No" numFmtId="49">
      <sharedItems containsNonDate="0" containsString="0" containsBlank="1"/>
    </cacheField>
    <cacheField name="Dated" numFmtId="0">
      <sharedItems containsNonDate="0" containsString="0" containsBlank="1"/>
    </cacheField>
    <cacheField name="Name on Check/Quantity" numFmtId="0">
      <sharedItems containsNonDate="0" containsString="0" containsBlank="1"/>
    </cacheField>
    <cacheField name="Remarks/Sold to" numFmtId="0">
      <sharedItems containsNonDate="0" containsString="0" containsBlank="1"/>
    </cacheField>
    <cacheField name="Entry Status" numFmtId="0">
      <sharedItems containsNonDate="0" containsString="0" containsBlank="1"/>
    </cacheField>
    <cacheField name=" Total FMV of Items Purchased" numFmtId="0">
      <sharedItems/>
    </cacheField>
    <cacheField name="Item Codes Purchased" numFmtId="0">
      <sharedItems containsNonDate="0" containsString="0" containsBlank="1"/>
    </cacheField>
    <cacheField name="ER No" numFmtId="0">
      <sharedItems/>
    </cacheField>
    <cacheField name="Address on Envelope" numFmtId="0">
      <sharedItems containsNonDate="0" containsString="0" containsBlank="1"/>
    </cacheField>
    <cacheField name="Address from Edavaka List" numFmtId="0">
      <sharedItems/>
    </cacheField>
    <cacheField name="Cum Amount"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50">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pivotCacheRecords>
</file>

<file path=xl/pivotCache/pivotCacheRecords2.xml><?xml version="1.0" encoding="utf-8"?>
<pivotCacheRecords xmlns="http://schemas.openxmlformats.org/spreadsheetml/2006/main" xmlns:r="http://schemas.openxmlformats.org/officeDocument/2006/relationships" count="599">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m/>
    <m/>
    <m/>
    <x v="0"/>
    <m/>
    <x v="0"/>
    <m/>
    <m/>
    <m/>
    <m/>
    <m/>
    <m/>
    <m/>
    <s v=""/>
    <m/>
    <e v="#N/A"/>
    <m/>
    <e v="#N/A"/>
    <n v="0"/>
  </r>
  <r>
    <m/>
    <e v="#N/A"/>
    <m/>
    <m/>
    <x v="0"/>
    <m/>
    <x v="0"/>
    <m/>
    <m/>
    <m/>
    <m/>
    <m/>
    <m/>
    <m/>
    <s v=""/>
    <m/>
    <e v="#N/A"/>
    <m/>
    <e v="#N/A"/>
    <n v="0"/>
  </r>
  <r>
    <m/>
    <e v="#N/A"/>
    <m/>
    <m/>
    <x v="0"/>
    <m/>
    <x v="0"/>
    <m/>
    <m/>
    <m/>
    <m/>
    <m/>
    <m/>
    <m/>
    <s v=""/>
    <m/>
    <e v="#N/A"/>
    <m/>
    <e v="#N/A"/>
    <n v="0"/>
  </r>
  <r>
    <m/>
    <e v="#N/A"/>
    <m/>
    <m/>
    <x v="0"/>
    <m/>
    <x v="0"/>
    <m/>
    <m/>
    <m/>
    <m/>
    <m/>
    <m/>
    <m/>
    <s v=""/>
    <m/>
    <e v="#N/A"/>
    <m/>
    <e v="#N/A"/>
    <n v="0"/>
  </r>
  <r>
    <m/>
    <e v="#N/A"/>
    <m/>
    <m/>
    <x v="0"/>
    <m/>
    <x v="0"/>
    <m/>
    <m/>
    <m/>
    <m/>
    <m/>
    <m/>
    <m/>
    <s v=""/>
    <m/>
    <e v="#N/A"/>
    <m/>
    <e v="#N/A"/>
    <n v="0"/>
  </r>
  <r>
    <m/>
    <e v="#N/A"/>
    <m/>
    <m/>
    <x v="0"/>
    <m/>
    <x v="0"/>
    <m/>
    <m/>
    <m/>
    <m/>
    <m/>
    <m/>
    <m/>
    <s v=""/>
    <m/>
    <e v="#N/A"/>
    <m/>
    <e v="#N/A"/>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A3:C5" firstHeaderRow="1" firstDataRow="2" firstDataCol="1"/>
  <pivotFields count="20">
    <pivotField showAll="0"/>
    <pivotField showAll="0"/>
    <pivotField showAll="0"/>
    <pivotField dataField="1" showAll="0"/>
    <pivotField axis="axisRow" showAll="0">
      <items count="31">
        <item sd="0" m="1" x="5"/>
        <item sd="0" m="1" x="3"/>
        <item sd="0" m="1" x="2"/>
        <item sd="0" m="1" x="25"/>
        <item sd="0" m="1" x="6"/>
        <item sd="0" m="1" x="28"/>
        <item sd="0" m="1" x="21"/>
        <item sd="0" m="1" x="13"/>
        <item sd="0" m="1" x="17"/>
        <item sd="0" m="1" x="15"/>
        <item sd="0" m="1" x="11"/>
        <item sd="0" m="1" x="19"/>
        <item m="1" x="9"/>
        <item m="1" x="8"/>
        <item m="1" x="7"/>
        <item m="1" x="1"/>
        <item m="1" x="29"/>
        <item m="1" x="14"/>
        <item m="1" x="26"/>
        <item m="1" x="27"/>
        <item m="1" x="18"/>
        <item m="1" x="10"/>
        <item m="1" x="12"/>
        <item m="1" x="24"/>
        <item m="1" x="23"/>
        <item m="1" x="22"/>
        <item m="1" x="20"/>
        <item m="1" x="4"/>
        <item m="1" x="16"/>
        <item x="0"/>
        <item t="default"/>
      </items>
    </pivotField>
    <pivotField showAll="0"/>
    <pivotField axis="axisRow" dataField="1" showAll="0">
      <items count="12">
        <item sd="0" m="1" x="2"/>
        <item sd="0" m="1" x="1"/>
        <item x="0"/>
        <item sd="0" m="1" x="3"/>
        <item sd="0" m="1" x="9"/>
        <item sd="0" m="1" x="5"/>
        <item sd="0" m="1" x="10"/>
        <item sd="0" m="1" x="7"/>
        <item sd="0" m="1" x="8"/>
        <item sd="0" m="1" x="6"/>
        <item sd="0" m="1" x="4"/>
        <item t="default"/>
      </items>
    </pivotField>
    <pivotField showAll="0"/>
    <pivotField showAll="0" defaultSubtotal="0"/>
    <pivotField showAll="0" defaultSubtotal="0"/>
    <pivotField showAll="0"/>
    <pivotField showAll="0" defaultSubtotal="0"/>
    <pivotField showAll="0" defaultSubtotal="0"/>
    <pivotField showAll="0"/>
    <pivotField showAll="0" defaultSubtotal="0"/>
    <pivotField showAll="0" defaultSubtotal="0"/>
    <pivotField showAll="0"/>
    <pivotField showAll="0"/>
    <pivotField showAll="0"/>
    <pivotField showAll="0"/>
  </pivotFields>
  <rowFields count="2">
    <field x="6"/>
    <field x="4"/>
  </rowFields>
  <rowItems count="1">
    <i t="grand">
      <x/>
    </i>
  </rowItems>
  <colFields count="1">
    <field x="-2"/>
  </colFields>
  <colItems count="2">
    <i>
      <x/>
    </i>
    <i i="1">
      <x v="1"/>
    </i>
  </colItems>
  <dataFields count="2">
    <dataField name="Number of Contributions" fld="6" subtotal="count" baseField="4" baseItem="27"/>
    <dataField name="Total Amount Received" fld="3" baseField="4" baseItem="27" numFmtId="166"/>
  </dataFields>
  <formats count="3">
    <format dxfId="35">
      <pivotArea outline="0" collapsedLevelsAreSubtotals="1" fieldPosition="0">
        <references count="1">
          <reference field="4294967294" count="1" selected="0">
            <x v="1"/>
          </reference>
        </references>
      </pivotArea>
    </format>
    <format dxfId="34">
      <pivotArea type="topRight" dataOnly="0" labelOnly="1" outline="0" fieldPosition="0"/>
    </format>
    <format dxfId="3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filters count="1">
    <filter fld="4" type="dateNewerThan" evalOrder="-1" id="1">
      <autoFilter ref="A1">
        <filterColumn colId="0">
          <customFilters>
            <customFilter operator="greaterThan" val="41364"/>
          </customFilters>
        </filterColumn>
      </autoFilter>
    </filter>
  </filters>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3:C7" firstHeaderRow="1" firstDataRow="2" firstDataCol="1"/>
  <pivotFields count="15">
    <pivotField showAll="0"/>
    <pivotField showAll="0"/>
    <pivotField axis="axisRow" showAll="0">
      <items count="87">
        <item m="1" x="1"/>
        <item m="1" x="81"/>
        <item m="1" x="40"/>
        <item m="1" x="12"/>
        <item m="1" x="55"/>
        <item m="1" x="51"/>
        <item m="1" x="37"/>
        <item m="1" x="65"/>
        <item m="1" x="29"/>
        <item m="1" x="66"/>
        <item m="1" x="34"/>
        <item m="1" x="58"/>
        <item m="1" x="20"/>
        <item m="1" x="54"/>
        <item m="1" x="30"/>
        <item m="1" x="59"/>
        <item m="1" x="46"/>
        <item m="1" x="77"/>
        <item m="1" x="71"/>
        <item m="1" x="7"/>
        <item m="1" x="27"/>
        <item m="1" x="79"/>
        <item m="1" x="41"/>
        <item m="1" x="72"/>
        <item m="1" x="61"/>
        <item m="1" x="21"/>
        <item m="1" x="70"/>
        <item m="1" x="69"/>
        <item m="1" x="31"/>
        <item m="1" x="6"/>
        <item m="1" x="85"/>
        <item m="1" x="36"/>
        <item m="1" x="56"/>
        <item m="1" x="42"/>
        <item m="1" x="33"/>
        <item m="1" x="48"/>
        <item m="1" x="24"/>
        <item m="1" x="9"/>
        <item m="1" x="75"/>
        <item m="1" x="64"/>
        <item m="1" x="4"/>
        <item m="1" x="11"/>
        <item m="1" x="50"/>
        <item m="1" x="49"/>
        <item m="1" x="60"/>
        <item m="1" x="44"/>
        <item m="1" x="68"/>
        <item m="1" x="8"/>
        <item m="1" x="83"/>
        <item m="1" x="3"/>
        <item m="1" x="38"/>
        <item m="1" x="10"/>
        <item m="1" x="43"/>
        <item m="1" x="63"/>
        <item m="1" x="53"/>
        <item m="1" x="76"/>
        <item m="1" x="67"/>
        <item m="1" x="35"/>
        <item m="1" x="26"/>
        <item m="1" x="74"/>
        <item m="1" x="52"/>
        <item m="1" x="16"/>
        <item m="1" x="82"/>
        <item m="1" x="19"/>
        <item m="1" x="23"/>
        <item m="1" x="62"/>
        <item m="1" x="13"/>
        <item m="1" x="28"/>
        <item m="1" x="18"/>
        <item m="1" x="5"/>
        <item m="1" x="22"/>
        <item m="1" x="32"/>
        <item m="1" x="15"/>
        <item m="1" x="39"/>
        <item m="1" x="2"/>
        <item m="1" x="73"/>
        <item m="1" x="45"/>
        <item m="1" x="25"/>
        <item m="1" x="78"/>
        <item m="1" x="14"/>
        <item m="1" x="84"/>
        <item m="1" x="80"/>
        <item m="1" x="57"/>
        <item m="1" x="47"/>
        <item m="1" x="17"/>
        <item x="0"/>
        <item t="default"/>
      </items>
    </pivotField>
    <pivotField showAll="0"/>
    <pivotField showAll="0"/>
    <pivotField axis="axisRow" showAll="0">
      <items count="247">
        <item m="1" x="49"/>
        <item m="1" x="90"/>
        <item m="1" x="138"/>
        <item m="1" x="50"/>
        <item m="1" x="91"/>
        <item m="1" x="141"/>
        <item m="1" x="193"/>
        <item m="1" x="231"/>
        <item m="1" x="23"/>
        <item m="1" x="59"/>
        <item m="1" x="105"/>
        <item m="1" x="153"/>
        <item m="1" x="197"/>
        <item m="1" x="51"/>
        <item m="1" x="92"/>
        <item m="1" x="53"/>
        <item m="1" x="95"/>
        <item m="1" x="148"/>
        <item m="1" x="195"/>
        <item m="1" x="233"/>
        <item m="1" x="26"/>
        <item m="1" x="54"/>
        <item m="1" x="98"/>
        <item m="1" x="55"/>
        <item m="1" x="101"/>
        <item m="1" x="57"/>
        <item m="1" x="103"/>
        <item m="1" x="152"/>
        <item m="1" x="196"/>
        <item m="1" x="60"/>
        <item m="1" x="63"/>
        <item m="1" x="109"/>
        <item m="1" x="66"/>
        <item m="1" x="111"/>
        <item m="1" x="155"/>
        <item m="1" x="39"/>
        <item m="1" x="41"/>
        <item m="1" x="20"/>
        <item m="1" x="21"/>
        <item m="1" x="56"/>
        <item m="1" x="22"/>
        <item m="1" x="24"/>
        <item m="1" x="25"/>
        <item m="1" x="64"/>
        <item m="1" x="110"/>
        <item m="1" x="154"/>
        <item m="1" x="27"/>
        <item m="1" x="11"/>
        <item m="1" x="12"/>
        <item m="1" x="13"/>
        <item m="1" x="222"/>
        <item m="1" x="181"/>
        <item m="1" x="183"/>
        <item m="1" x="186"/>
        <item m="1" x="136"/>
        <item m="1" x="139"/>
        <item m="1" x="142"/>
        <item m="1" x="145"/>
        <item m="1" x="94"/>
        <item m="1" x="96"/>
        <item m="1" x="99"/>
        <item m="1" x="58"/>
        <item m="1" x="61"/>
        <item m="1" x="28"/>
        <item m="1" x="241"/>
        <item m="1" x="178"/>
        <item m="1" x="225"/>
        <item m="1" x="157"/>
        <item m="1" x="160"/>
        <item m="1" x="116"/>
        <item m="1" x="118"/>
        <item m="1" x="81"/>
        <item m="1" x="83"/>
        <item m="1" x="46"/>
        <item m="1" x="15"/>
        <item m="1" x="17"/>
        <item m="1" x="228"/>
        <item m="1" x="190"/>
        <item m="1" x="192"/>
        <item m="1" x="146"/>
        <item m="1" x="149"/>
        <item m="1" x="150"/>
        <item m="1" x="151"/>
        <item m="1" x="104"/>
        <item m="1" x="107"/>
        <item m="1" x="234"/>
        <item m="1" x="235"/>
        <item m="1" x="236"/>
        <item m="1" x="29"/>
        <item m="1" x="69"/>
        <item m="1" x="112"/>
        <item m="1" x="156"/>
        <item m="1" x="205"/>
        <item m="1" x="238"/>
        <item m="1" x="31"/>
        <item m="1" x="71"/>
        <item m="1" x="113"/>
        <item m="1" x="158"/>
        <item m="1" x="240"/>
        <item m="1" x="33"/>
        <item m="1" x="73"/>
        <item m="1" x="242"/>
        <item m="1" x="243"/>
        <item m="1" x="34"/>
        <item m="1" x="76"/>
        <item m="1" x="115"/>
        <item m="1" x="162"/>
        <item m="1" x="212"/>
        <item m="1" x="9"/>
        <item m="1" x="44"/>
        <item m="1" x="86"/>
        <item m="1" x="127"/>
        <item m="1" x="174"/>
        <item m="1" x="3"/>
        <item m="1" x="36"/>
        <item m="1" x="79"/>
        <item m="1" x="120"/>
        <item m="1" x="166"/>
        <item m="1" x="217"/>
        <item m="1" x="5"/>
        <item m="1" x="38"/>
        <item m="1" x="224"/>
        <item m="1" x="227"/>
        <item m="1" x="200"/>
        <item m="1" x="202"/>
        <item m="1" x="203"/>
        <item m="1" x="204"/>
        <item m="1" x="1"/>
        <item m="1" x="207"/>
        <item m="1" x="4"/>
        <item m="1" x="37"/>
        <item m="1" x="80"/>
        <item m="1" x="121"/>
        <item m="1" x="167"/>
        <item m="1" x="218"/>
        <item m="1" x="10"/>
        <item m="1" x="45"/>
        <item m="1" x="87"/>
        <item m="1" x="129"/>
        <item m="1" x="176"/>
        <item m="1" x="223"/>
        <item m="1" x="16"/>
        <item m="1" x="47"/>
        <item m="1" x="88"/>
        <item m="1" x="135"/>
        <item m="1" x="187"/>
        <item m="1" x="230"/>
        <item m="1" x="19"/>
        <item m="1" x="52"/>
        <item m="1" x="93"/>
        <item m="1" x="144"/>
        <item m="1" x="194"/>
        <item m="1" x="232"/>
        <item m="1" x="185"/>
        <item m="1" x="188"/>
        <item m="1" x="189"/>
        <item m="1" x="191"/>
        <item m="1" x="137"/>
        <item m="1" x="140"/>
        <item m="1" x="143"/>
        <item m="1" x="147"/>
        <item m="1" x="97"/>
        <item m="1" x="100"/>
        <item m="1" x="102"/>
        <item m="1" x="106"/>
        <item m="1" x="108"/>
        <item m="1" x="62"/>
        <item m="1" x="65"/>
        <item m="1" x="67"/>
        <item m="1" x="68"/>
        <item m="1" x="70"/>
        <item m="1" x="72"/>
        <item m="1" x="75"/>
        <item m="1" x="30"/>
        <item m="1" x="32"/>
        <item m="1" x="244"/>
        <item m="1" x="2"/>
        <item m="1" x="209"/>
        <item m="1" x="211"/>
        <item m="1" x="214"/>
        <item m="1" x="168"/>
        <item m="1" x="169"/>
        <item m="1" x="198"/>
        <item m="1" x="237"/>
        <item m="1" x="199"/>
        <item m="1" x="239"/>
        <item m="1" x="201"/>
        <item m="1" x="114"/>
        <item m="1" x="245"/>
        <item m="1" x="161"/>
        <item m="1" x="210"/>
        <item m="1" x="77"/>
        <item m="1" x="206"/>
        <item m="1" x="6"/>
        <item m="1" x="40"/>
        <item m="1" x="163"/>
        <item m="1" x="82"/>
        <item m="1" x="124"/>
        <item m="1" x="7"/>
        <item m="1" x="171"/>
        <item m="1" x="42"/>
        <item m="1" x="219"/>
        <item m="1" x="84"/>
        <item m="1" x="215"/>
        <item m="1" x="14"/>
        <item m="1" x="122"/>
        <item m="1" x="117"/>
        <item m="1" x="164"/>
        <item m="1" x="35"/>
        <item m="1" x="159"/>
        <item m="1" x="213"/>
        <item m="1" x="78"/>
        <item m="1" x="208"/>
        <item m="1" x="74"/>
        <item m="1" x="8"/>
        <item m="1" x="119"/>
        <item m="1" x="43"/>
        <item m="1" x="165"/>
        <item m="1" x="85"/>
        <item m="1" x="216"/>
        <item m="1" x="126"/>
        <item m="1" x="173"/>
        <item m="1" x="221"/>
        <item m="1" x="123"/>
        <item m="1" x="170"/>
        <item m="1" x="125"/>
        <item m="1" x="172"/>
        <item m="1" x="220"/>
        <item m="1" x="128"/>
        <item m="1" x="175"/>
        <item m="1" x="130"/>
        <item m="1" x="177"/>
        <item m="1" x="131"/>
        <item m="1" x="179"/>
        <item m="1" x="226"/>
        <item m="1" x="18"/>
        <item m="1" x="48"/>
        <item m="1" x="89"/>
        <item m="1" x="132"/>
        <item m="1" x="180"/>
        <item m="1" x="133"/>
        <item m="1" x="182"/>
        <item m="1" x="134"/>
        <item m="1" x="184"/>
        <item m="1" x="229"/>
        <item x="0"/>
        <item t="default"/>
      </items>
    </pivotField>
    <pivotField dataField="1" showAll="0"/>
    <pivotField outline="0" showAll="0" defaultSubtotal="0"/>
    <pivotField showAll="0"/>
    <pivotField dataField="1" showAll="0"/>
    <pivotField showAll="0"/>
    <pivotField showAll="0"/>
    <pivotField showAll="0"/>
    <pivotField showAll="0"/>
    <pivotField showAll="0"/>
  </pivotFields>
  <rowFields count="2">
    <field x="2"/>
    <field x="5"/>
  </rowFields>
  <rowItems count="3">
    <i>
      <x v="85"/>
    </i>
    <i r="1">
      <x v="245"/>
    </i>
    <i t="grand">
      <x/>
    </i>
  </rowItems>
  <colFields count="1">
    <field x="-2"/>
  </colFields>
  <colItems count="2">
    <i>
      <x/>
    </i>
    <i i="1">
      <x v="1"/>
    </i>
  </colItems>
  <dataFields count="2">
    <dataField name="Sum of Item Cost" fld="6" baseField="0" baseItem="0"/>
    <dataField name="Sum of Sold Price" fld="9" baseField="0" baseItem="0"/>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P3:R7" firstHeaderRow="1" firstDataRow="2" firstDataCol="1"/>
  <pivotFields count="15">
    <pivotField showAll="0"/>
    <pivotField showAll="0"/>
    <pivotField showAll="0"/>
    <pivotField showAll="0"/>
    <pivotField showAll="0"/>
    <pivotField axis="axisRow" showAll="0">
      <items count="247">
        <item m="1" x="49"/>
        <item m="1" x="90"/>
        <item m="1" x="138"/>
        <item m="1" x="50"/>
        <item m="1" x="91"/>
        <item m="1" x="141"/>
        <item m="1" x="193"/>
        <item m="1" x="231"/>
        <item m="1" x="23"/>
        <item m="1" x="59"/>
        <item m="1" x="105"/>
        <item m="1" x="153"/>
        <item m="1" x="197"/>
        <item m="1" x="51"/>
        <item m="1" x="92"/>
        <item m="1" x="53"/>
        <item m="1" x="95"/>
        <item m="1" x="148"/>
        <item m="1" x="195"/>
        <item m="1" x="233"/>
        <item m="1" x="26"/>
        <item m="1" x="54"/>
        <item m="1" x="98"/>
        <item m="1" x="55"/>
        <item m="1" x="101"/>
        <item m="1" x="57"/>
        <item m="1" x="103"/>
        <item m="1" x="152"/>
        <item m="1" x="196"/>
        <item m="1" x="60"/>
        <item m="1" x="63"/>
        <item m="1" x="109"/>
        <item m="1" x="66"/>
        <item m="1" x="111"/>
        <item m="1" x="155"/>
        <item m="1" x="39"/>
        <item m="1" x="41"/>
        <item m="1" x="20"/>
        <item m="1" x="21"/>
        <item m="1" x="56"/>
        <item m="1" x="22"/>
        <item m="1" x="24"/>
        <item m="1" x="25"/>
        <item m="1" x="64"/>
        <item m="1" x="110"/>
        <item m="1" x="154"/>
        <item m="1" x="27"/>
        <item m="1" x="11"/>
        <item m="1" x="12"/>
        <item m="1" x="13"/>
        <item m="1" x="222"/>
        <item m="1" x="181"/>
        <item m="1" x="183"/>
        <item m="1" x="186"/>
        <item m="1" x="136"/>
        <item m="1" x="139"/>
        <item m="1" x="142"/>
        <item m="1" x="145"/>
        <item m="1" x="94"/>
        <item m="1" x="96"/>
        <item m="1" x="99"/>
        <item m="1" x="58"/>
        <item m="1" x="61"/>
        <item m="1" x="28"/>
        <item m="1" x="241"/>
        <item m="1" x="178"/>
        <item m="1" x="225"/>
        <item m="1" x="157"/>
        <item m="1" x="160"/>
        <item m="1" x="116"/>
        <item m="1" x="118"/>
        <item m="1" x="81"/>
        <item m="1" x="83"/>
        <item m="1" x="46"/>
        <item m="1" x="15"/>
        <item m="1" x="17"/>
        <item m="1" x="228"/>
        <item m="1" x="190"/>
        <item m="1" x="192"/>
        <item m="1" x="146"/>
        <item m="1" x="149"/>
        <item m="1" x="150"/>
        <item m="1" x="151"/>
        <item m="1" x="104"/>
        <item m="1" x="107"/>
        <item m="1" x="234"/>
        <item m="1" x="235"/>
        <item m="1" x="236"/>
        <item m="1" x="29"/>
        <item m="1" x="69"/>
        <item m="1" x="112"/>
        <item m="1" x="156"/>
        <item m="1" x="205"/>
        <item m="1" x="238"/>
        <item m="1" x="31"/>
        <item m="1" x="71"/>
        <item m="1" x="113"/>
        <item m="1" x="158"/>
        <item m="1" x="240"/>
        <item m="1" x="33"/>
        <item m="1" x="73"/>
        <item m="1" x="242"/>
        <item m="1" x="243"/>
        <item m="1" x="34"/>
        <item m="1" x="76"/>
        <item m="1" x="115"/>
        <item m="1" x="162"/>
        <item m="1" x="212"/>
        <item m="1" x="9"/>
        <item m="1" x="44"/>
        <item m="1" x="86"/>
        <item m="1" x="127"/>
        <item m="1" x="174"/>
        <item m="1" x="3"/>
        <item m="1" x="36"/>
        <item m="1" x="79"/>
        <item m="1" x="120"/>
        <item m="1" x="166"/>
        <item m="1" x="217"/>
        <item m="1" x="5"/>
        <item m="1" x="38"/>
        <item m="1" x="224"/>
        <item m="1" x="227"/>
        <item m="1" x="200"/>
        <item m="1" x="202"/>
        <item m="1" x="203"/>
        <item m="1" x="204"/>
        <item m="1" x="1"/>
        <item m="1" x="207"/>
        <item m="1" x="4"/>
        <item m="1" x="37"/>
        <item m="1" x="80"/>
        <item m="1" x="121"/>
        <item m="1" x="167"/>
        <item m="1" x="218"/>
        <item m="1" x="10"/>
        <item m="1" x="45"/>
        <item m="1" x="87"/>
        <item m="1" x="129"/>
        <item m="1" x="176"/>
        <item m="1" x="223"/>
        <item m="1" x="16"/>
        <item m="1" x="47"/>
        <item m="1" x="88"/>
        <item m="1" x="135"/>
        <item m="1" x="187"/>
        <item m="1" x="230"/>
        <item m="1" x="19"/>
        <item m="1" x="52"/>
        <item m="1" x="93"/>
        <item m="1" x="144"/>
        <item m="1" x="194"/>
        <item m="1" x="232"/>
        <item m="1" x="185"/>
        <item m="1" x="188"/>
        <item m="1" x="189"/>
        <item m="1" x="191"/>
        <item m="1" x="137"/>
        <item m="1" x="140"/>
        <item m="1" x="143"/>
        <item m="1" x="147"/>
        <item m="1" x="97"/>
        <item m="1" x="100"/>
        <item m="1" x="102"/>
        <item m="1" x="106"/>
        <item m="1" x="108"/>
        <item m="1" x="62"/>
        <item m="1" x="65"/>
        <item m="1" x="67"/>
        <item m="1" x="68"/>
        <item m="1" x="70"/>
        <item m="1" x="72"/>
        <item m="1" x="75"/>
        <item m="1" x="30"/>
        <item m="1" x="32"/>
        <item m="1" x="244"/>
        <item m="1" x="2"/>
        <item m="1" x="209"/>
        <item m="1" x="211"/>
        <item m="1" x="214"/>
        <item m="1" x="168"/>
        <item m="1" x="169"/>
        <item m="1" x="198"/>
        <item m="1" x="237"/>
        <item m="1" x="199"/>
        <item m="1" x="239"/>
        <item m="1" x="201"/>
        <item m="1" x="114"/>
        <item m="1" x="245"/>
        <item m="1" x="161"/>
        <item m="1" x="210"/>
        <item m="1" x="77"/>
        <item m="1" x="206"/>
        <item m="1" x="6"/>
        <item m="1" x="40"/>
        <item m="1" x="163"/>
        <item m="1" x="82"/>
        <item m="1" x="124"/>
        <item m="1" x="7"/>
        <item m="1" x="171"/>
        <item m="1" x="42"/>
        <item m="1" x="219"/>
        <item m="1" x="84"/>
        <item m="1" x="215"/>
        <item m="1" x="14"/>
        <item m="1" x="122"/>
        <item m="1" x="117"/>
        <item m="1" x="164"/>
        <item m="1" x="35"/>
        <item m="1" x="159"/>
        <item m="1" x="213"/>
        <item m="1" x="78"/>
        <item m="1" x="208"/>
        <item m="1" x="74"/>
        <item m="1" x="8"/>
        <item m="1" x="119"/>
        <item m="1" x="43"/>
        <item m="1" x="165"/>
        <item m="1" x="85"/>
        <item m="1" x="216"/>
        <item m="1" x="126"/>
        <item m="1" x="173"/>
        <item m="1" x="221"/>
        <item m="1" x="123"/>
        <item m="1" x="170"/>
        <item m="1" x="125"/>
        <item m="1" x="172"/>
        <item m="1" x="220"/>
        <item m="1" x="128"/>
        <item m="1" x="175"/>
        <item m="1" x="130"/>
        <item m="1" x="177"/>
        <item m="1" x="131"/>
        <item m="1" x="179"/>
        <item m="1" x="226"/>
        <item m="1" x="18"/>
        <item m="1" x="48"/>
        <item m="1" x="89"/>
        <item m="1" x="132"/>
        <item m="1" x="180"/>
        <item m="1" x="133"/>
        <item m="1" x="182"/>
        <item m="1" x="134"/>
        <item m="1" x="184"/>
        <item m="1" x="229"/>
        <item x="0"/>
        <item t="default"/>
      </items>
    </pivotField>
    <pivotField dataField="1" showAll="0"/>
    <pivotField axis="axisRow" showAll="0">
      <items count="95">
        <item m="1" x="86"/>
        <item m="1" x="68"/>
        <item m="1" x="47"/>
        <item m="1" x="11"/>
        <item m="1" x="19"/>
        <item m="1" x="37"/>
        <item m="1" x="62"/>
        <item m="1" x="59"/>
        <item m="1" x="39"/>
        <item m="1" x="74"/>
        <item m="1" x="93"/>
        <item m="1" x="87"/>
        <item m="1" x="29"/>
        <item m="1" x="76"/>
        <item m="1" x="35"/>
        <item m="1" x="64"/>
        <item m="1" x="89"/>
        <item m="1" x="21"/>
        <item m="1" x="61"/>
        <item m="1" x="30"/>
        <item m="1" x="72"/>
        <item m="1" x="23"/>
        <item m="1" x="51"/>
        <item m="1" x="80"/>
        <item m="1" x="6"/>
        <item m="1" x="27"/>
        <item m="1" x="42"/>
        <item m="1" x="82"/>
        <item m="1" x="32"/>
        <item m="1" x="22"/>
        <item m="1" x="79"/>
        <item m="1" x="38"/>
        <item m="1" x="8"/>
        <item m="1" x="5"/>
        <item m="1" x="92"/>
        <item m="1" x="43"/>
        <item m="1" x="34"/>
        <item m="1" x="53"/>
        <item m="1" x="44"/>
        <item m="1" x="25"/>
        <item m="1" x="9"/>
        <item m="1" x="73"/>
        <item m="1" x="65"/>
        <item m="1" x="63"/>
        <item m="1" x="4"/>
        <item m="1" x="55"/>
        <item m="1" x="54"/>
        <item m="1" x="71"/>
        <item m="1" x="67"/>
        <item m="1" x="48"/>
        <item m="1" x="78"/>
        <item m="1" x="7"/>
        <item m="1" x="88"/>
        <item m="1" x="3"/>
        <item m="1" x="41"/>
        <item m="1" x="10"/>
        <item m="1" x="45"/>
        <item m="1" x="70"/>
        <item m="1" x="77"/>
        <item m="1" x="50"/>
        <item m="1" x="36"/>
        <item m="1" x="83"/>
        <item m="1" x="60"/>
        <item m="1" x="33"/>
        <item m="1" x="20"/>
        <item m="1" x="40"/>
        <item m="1" x="24"/>
        <item m="1" x="69"/>
        <item m="1" x="12"/>
        <item m="1" x="28"/>
        <item m="1" x="58"/>
        <item m="1" x="31"/>
        <item m="1" x="18"/>
        <item m="1" x="75"/>
        <item m="1" x="14"/>
        <item m="1" x="2"/>
        <item m="1" x="56"/>
        <item m="1" x="81"/>
        <item m="1" x="66"/>
        <item m="1" x="49"/>
        <item m="1" x="26"/>
        <item m="1" x="15"/>
        <item m="1" x="84"/>
        <item m="1" x="13"/>
        <item m="1" x="85"/>
        <item m="1" x="46"/>
        <item m="1" x="91"/>
        <item m="1" x="57"/>
        <item m="1" x="52"/>
        <item m="1" x="16"/>
        <item m="1" x="17"/>
        <item m="1" x="1"/>
        <item m="1" x="90"/>
        <item x="0"/>
        <item t="default"/>
      </items>
    </pivotField>
    <pivotField showAll="0"/>
    <pivotField dataField="1" showAll="0"/>
    <pivotField showAll="0"/>
    <pivotField showAll="0"/>
    <pivotField showAll="0"/>
    <pivotField showAll="0"/>
    <pivotField showAll="0"/>
  </pivotFields>
  <rowFields count="2">
    <field x="7"/>
    <field x="5"/>
  </rowFields>
  <rowItems count="3">
    <i>
      <x v="93"/>
    </i>
    <i r="1">
      <x v="245"/>
    </i>
    <i t="grand">
      <x/>
    </i>
  </rowItems>
  <colFields count="1">
    <field x="-2"/>
  </colFields>
  <colItems count="2">
    <i>
      <x/>
    </i>
    <i i="1">
      <x v="1"/>
    </i>
  </colItems>
  <dataFields count="2">
    <dataField name="Sum of Item Cost" fld="6" baseField="0" baseItem="0"/>
    <dataField name="Sum of Sold Price" fld="9" baseField="0" baseItem="0"/>
  </dataFields>
  <pivotTableStyleInfo name="PivotStyleLight16" showRowHeaders="1" showColHeaders="1" showRowStripes="0" showColStripes="0" showLastColumn="1"/>
</pivotTableDefinition>
</file>

<file path=xl/tables/table1.xml><?xml version="1.0" encoding="utf-8"?>
<table xmlns="http://schemas.openxmlformats.org/spreadsheetml/2006/main" id="2" name="Table32" displayName="Table32" ref="A1:U219" totalsRowShown="0" headerRowDxfId="32" dataDxfId="30" headerRowBorderDxfId="31">
  <autoFilter ref="A1:U219"/>
  <tableColumns count="21">
    <tableColumn id="3" name="Name (Head of Family)" dataDxfId="29"/>
    <tableColumn id="20" name="Title" dataDxfId="13"/>
    <tableColumn id="2" name="ER#" dataDxfId="28"/>
    <tableColumn id="28" name="Addres" dataDxfId="12"/>
    <tableColumn id="29" name="City" dataDxfId="11"/>
    <tableColumn id="30" name="State" dataDxfId="10"/>
    <tableColumn id="31" name="Postal Code" dataDxfId="9"/>
    <tableColumn id="5" name="Phone- Landline" dataDxfId="27"/>
    <tableColumn id="6" name="Phone-Mobile" dataDxfId="26"/>
    <tableColumn id="7" name="Email Address" dataDxfId="25"/>
    <tableColumn id="8" name="Mother Parish" dataDxfId="24"/>
    <tableColumn id="9" name="Family Name/Home Town-Husband" dataDxfId="23"/>
    <tableColumn id="10" name="Family Name/Home Town-Wife" dataDxfId="22"/>
    <tableColumn id="11" name="Area Prayer Group" dataDxfId="21"/>
    <tableColumn id="12" name="Name2" dataDxfId="20"/>
    <tableColumn id="13" name="Relation with HOF" dataDxfId="19"/>
    <tableColumn id="14" name="DOB" dataDxfId="18"/>
    <tableColumn id="15" name="DOM" dataDxfId="17"/>
    <tableColumn id="16" name="Date of Enrolment" dataDxfId="16"/>
    <tableColumn id="17" name="Subscription Promised" dataDxfId="15"/>
    <tableColumn id="21" name="Terms of Payment" dataDxfId="14"/>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financeandaccountingforchurches.blogspot.in/" TargetMode="External"/><Relationship Id="rId1" Type="http://schemas.openxmlformats.org/officeDocument/2006/relationships/hyperlink" Target="http://financeandaccountingforchurches.blogspot.com/2013/06/church-accounting-using-gnucash-14.html" TargetMode="External"/></Relationships>
</file>

<file path=xl/worksheets/_rels/sheet5.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C42"/>
  <sheetViews>
    <sheetView workbookViewId="0">
      <selection activeCell="A5" sqref="A5"/>
    </sheetView>
  </sheetViews>
  <sheetFormatPr defaultRowHeight="15" x14ac:dyDescent="0.25"/>
  <cols>
    <col min="1" max="1" width="13.140625" customWidth="1"/>
    <col min="2" max="2" width="23.5703125" customWidth="1"/>
    <col min="3" max="3" width="22" style="29" customWidth="1"/>
    <col min="4" max="4" width="16.28515625" customWidth="1"/>
    <col min="5" max="5" width="14.85546875" customWidth="1"/>
    <col min="6" max="6" width="21.140625" bestFit="1" customWidth="1"/>
    <col min="7" max="7" width="14.85546875" customWidth="1"/>
    <col min="8" max="8" width="16.28515625" customWidth="1"/>
    <col min="9" max="9" width="14.85546875" bestFit="1" customWidth="1"/>
    <col min="10" max="10" width="19.140625" bestFit="1" customWidth="1"/>
    <col min="11" max="11" width="14.85546875" bestFit="1" customWidth="1"/>
    <col min="12" max="12" width="21.85546875" bestFit="1" customWidth="1"/>
    <col min="13" max="13" width="14.85546875" bestFit="1" customWidth="1"/>
    <col min="14" max="14" width="27" bestFit="1" customWidth="1"/>
    <col min="15" max="15" width="14.85546875" bestFit="1" customWidth="1"/>
    <col min="16" max="16" width="21.42578125" bestFit="1" customWidth="1"/>
    <col min="17" max="17" width="19.85546875" bestFit="1" customWidth="1"/>
  </cols>
  <sheetData>
    <row r="3" spans="1:3" x14ac:dyDescent="0.25">
      <c r="B3" s="1" t="s">
        <v>57</v>
      </c>
    </row>
    <row r="4" spans="1:3" x14ac:dyDescent="0.25">
      <c r="A4" s="1" t="s">
        <v>26</v>
      </c>
      <c r="B4" t="s">
        <v>80</v>
      </c>
      <c r="C4" s="29" t="s">
        <v>81</v>
      </c>
    </row>
    <row r="5" spans="1:3" x14ac:dyDescent="0.25">
      <c r="A5" s="2" t="s">
        <v>27</v>
      </c>
      <c r="B5" s="3"/>
    </row>
    <row r="6" spans="1:3" x14ac:dyDescent="0.25">
      <c r="C6"/>
    </row>
    <row r="7" spans="1:3" x14ac:dyDescent="0.25">
      <c r="C7"/>
    </row>
    <row r="8" spans="1:3" x14ac:dyDescent="0.25">
      <c r="C8"/>
    </row>
    <row r="9" spans="1:3" x14ac:dyDescent="0.25">
      <c r="C9"/>
    </row>
    <row r="10" spans="1:3" x14ac:dyDescent="0.25">
      <c r="C10"/>
    </row>
    <row r="11" spans="1:3" x14ac:dyDescent="0.25">
      <c r="C11"/>
    </row>
    <row r="12" spans="1:3" x14ac:dyDescent="0.25">
      <c r="C12"/>
    </row>
    <row r="13" spans="1:3" x14ac:dyDescent="0.25">
      <c r="C13"/>
    </row>
    <row r="14" spans="1:3" x14ac:dyDescent="0.25">
      <c r="C14"/>
    </row>
    <row r="15" spans="1:3" x14ac:dyDescent="0.25">
      <c r="C15"/>
    </row>
    <row r="16" spans="1:3" x14ac:dyDescent="0.25">
      <c r="C16"/>
    </row>
    <row r="17" spans="3:3" x14ac:dyDescent="0.25">
      <c r="C17"/>
    </row>
    <row r="18" spans="3:3" x14ac:dyDescent="0.25">
      <c r="C18"/>
    </row>
    <row r="19" spans="3:3" x14ac:dyDescent="0.25">
      <c r="C19"/>
    </row>
    <row r="20" spans="3:3" x14ac:dyDescent="0.25">
      <c r="C20"/>
    </row>
    <row r="21" spans="3:3" x14ac:dyDescent="0.25">
      <c r="C21"/>
    </row>
    <row r="22" spans="3:3" x14ac:dyDescent="0.25">
      <c r="C22"/>
    </row>
    <row r="23" spans="3:3" x14ac:dyDescent="0.25">
      <c r="C23"/>
    </row>
    <row r="24" spans="3:3" x14ac:dyDescent="0.25">
      <c r="C24"/>
    </row>
    <row r="25" spans="3:3" x14ac:dyDescent="0.25">
      <c r="C25"/>
    </row>
    <row r="26" spans="3:3" x14ac:dyDescent="0.25">
      <c r="C26"/>
    </row>
    <row r="27" spans="3:3" x14ac:dyDescent="0.25">
      <c r="C27"/>
    </row>
    <row r="28" spans="3:3" x14ac:dyDescent="0.25">
      <c r="C28"/>
    </row>
    <row r="29" spans="3:3" x14ac:dyDescent="0.25">
      <c r="C29"/>
    </row>
    <row r="30" spans="3:3" x14ac:dyDescent="0.25">
      <c r="C30"/>
    </row>
    <row r="31" spans="3:3" x14ac:dyDescent="0.25">
      <c r="C31"/>
    </row>
    <row r="32" spans="3:3" x14ac:dyDescent="0.25">
      <c r="C32"/>
    </row>
    <row r="33" spans="3:3" x14ac:dyDescent="0.25">
      <c r="C33"/>
    </row>
    <row r="34" spans="3:3" x14ac:dyDescent="0.25">
      <c r="C34"/>
    </row>
    <row r="35" spans="3:3" x14ac:dyDescent="0.25">
      <c r="C35"/>
    </row>
    <row r="36" spans="3:3" x14ac:dyDescent="0.25">
      <c r="C36"/>
    </row>
    <row r="37" spans="3:3" x14ac:dyDescent="0.25">
      <c r="C37"/>
    </row>
    <row r="38" spans="3:3" x14ac:dyDescent="0.25">
      <c r="C38"/>
    </row>
    <row r="39" spans="3:3" x14ac:dyDescent="0.25">
      <c r="C39"/>
    </row>
    <row r="40" spans="3:3" x14ac:dyDescent="0.25">
      <c r="C40"/>
    </row>
    <row r="41" spans="3:3" x14ac:dyDescent="0.25">
      <c r="C41"/>
    </row>
    <row r="42" spans="3:3" x14ac:dyDescent="0.25">
      <c r="C4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T601"/>
  <sheetViews>
    <sheetView zoomScaleNormal="100" zoomScaleSheetLayoutView="90" workbookViewId="0">
      <pane xSplit="13" ySplit="1" topLeftCell="N2" activePane="bottomRight" state="frozen"/>
      <selection pane="topRight" activeCell="N1" sqref="N1"/>
      <selection pane="bottomLeft" activeCell="A6" sqref="A6"/>
      <selection pane="bottomRight" activeCell="C8" sqref="C8"/>
    </sheetView>
  </sheetViews>
  <sheetFormatPr defaultRowHeight="12.75" x14ac:dyDescent="0.2"/>
  <cols>
    <col min="1" max="1" width="5.42578125" style="14" customWidth="1"/>
    <col min="2" max="2" width="5.140625" style="33" customWidth="1"/>
    <col min="3" max="3" width="25.140625" style="14" customWidth="1"/>
    <col min="4" max="4" width="10" style="32" customWidth="1"/>
    <col min="5" max="5" width="11.5703125" style="46" bestFit="1" customWidth="1"/>
    <col min="6" max="6" width="11.42578125" style="14" customWidth="1"/>
    <col min="7" max="7" width="19" style="14" customWidth="1"/>
    <col min="8" max="8" width="7.85546875" style="14" customWidth="1"/>
    <col min="9" max="9" width="12.42578125" style="14" customWidth="1"/>
    <col min="10" max="10" width="9.85546875" style="74" customWidth="1"/>
    <col min="11" max="11" width="11.28515625" style="14" customWidth="1"/>
    <col min="12" max="12" width="14.7109375" style="14" customWidth="1"/>
    <col min="13" max="13" width="17.7109375" style="14" customWidth="1"/>
    <col min="14" max="14" width="7.85546875" style="14" customWidth="1"/>
    <col min="15" max="15" width="9.85546875" style="14" customWidth="1"/>
    <col min="16" max="16" width="7.85546875" style="14" customWidth="1"/>
    <col min="17" max="17" width="8.28515625" style="14" customWidth="1"/>
    <col min="18" max="18" width="28.7109375" style="14" customWidth="1"/>
    <col min="19" max="19" width="75.85546875" style="14" customWidth="1"/>
    <col min="20" max="20" width="14.140625" style="14" customWidth="1"/>
    <col min="21" max="16384" width="9.140625" style="14"/>
  </cols>
  <sheetData>
    <row r="1" spans="1:20" s="12" customFormat="1" ht="63.75" x14ac:dyDescent="0.2">
      <c r="A1" s="21" t="s">
        <v>0</v>
      </c>
      <c r="B1" s="34" t="s">
        <v>150</v>
      </c>
      <c r="C1" s="22" t="s">
        <v>1</v>
      </c>
      <c r="D1" s="30" t="s">
        <v>3</v>
      </c>
      <c r="E1" s="45" t="s">
        <v>9</v>
      </c>
      <c r="F1" s="23" t="s">
        <v>7</v>
      </c>
      <c r="G1" s="23" t="s">
        <v>22</v>
      </c>
      <c r="H1" s="23" t="s">
        <v>2</v>
      </c>
      <c r="I1" s="23" t="s">
        <v>106</v>
      </c>
      <c r="J1" s="73" t="s">
        <v>107</v>
      </c>
      <c r="K1" s="23" t="s">
        <v>21</v>
      </c>
      <c r="L1" s="23" t="s">
        <v>108</v>
      </c>
      <c r="M1" s="23" t="s">
        <v>109</v>
      </c>
      <c r="N1" s="23" t="s">
        <v>25</v>
      </c>
      <c r="O1" s="23" t="s">
        <v>110</v>
      </c>
      <c r="P1" s="23" t="s">
        <v>111</v>
      </c>
      <c r="Q1" s="23" t="s">
        <v>8</v>
      </c>
      <c r="R1" s="23" t="s">
        <v>10</v>
      </c>
      <c r="S1" s="23" t="s">
        <v>6</v>
      </c>
      <c r="T1" s="23" t="s">
        <v>4</v>
      </c>
    </row>
    <row r="2" spans="1:20" x14ac:dyDescent="0.2">
      <c r="A2" s="18"/>
      <c r="B2" s="85"/>
      <c r="C2" s="19"/>
      <c r="D2" s="31"/>
      <c r="E2" s="24"/>
      <c r="F2" s="16"/>
      <c r="G2" s="16"/>
      <c r="H2" s="16"/>
      <c r="I2" s="16"/>
      <c r="J2" s="20"/>
      <c r="K2" s="25"/>
      <c r="L2" s="16"/>
      <c r="M2" s="16"/>
      <c r="N2" s="16"/>
      <c r="O2" s="16" t="str">
        <f>IF(ISNA(VLOOKUP(C2,'Auction Summary'!$P$3:$R$600,2,FALSE)),"",VLOOKUP(C2,'Auction Summary'!$P$3:$R$600,2,FALSE))</f>
        <v/>
      </c>
      <c r="P2" s="16"/>
      <c r="Q2" s="95" t="e">
        <f>VLOOKUP(C2,'Member Details (HOF Only)'!$A$2:$U$219,4,FALSE)</f>
        <v>#N/A</v>
      </c>
      <c r="R2" s="13"/>
      <c r="S2" s="95" t="e">
        <f>VLOOKUP(C2,'Member Details (HOF Only)'!$A$2:$U$219,7,FALSE)</f>
        <v>#N/A</v>
      </c>
      <c r="T2" s="11">
        <f>D2</f>
        <v>0</v>
      </c>
    </row>
    <row r="3" spans="1:20" x14ac:dyDescent="0.2">
      <c r="A3" s="18"/>
      <c r="B3" s="85"/>
      <c r="C3" s="19"/>
      <c r="D3" s="31"/>
      <c r="E3" s="24"/>
      <c r="F3" s="16"/>
      <c r="G3" s="16"/>
      <c r="H3" s="16"/>
      <c r="I3" s="16"/>
      <c r="J3" s="20"/>
      <c r="K3" s="25"/>
      <c r="L3" s="16"/>
      <c r="M3" s="16"/>
      <c r="N3" s="16"/>
      <c r="O3" s="16" t="str">
        <f>IF(ISNA(VLOOKUP(C3,'Auction Summary'!$P$3:$R$600,2,FALSE)),"",VLOOKUP(C3,'Auction Summary'!$P$3:$R$600,2,FALSE))</f>
        <v/>
      </c>
      <c r="P3" s="16"/>
      <c r="Q3" s="95" t="e">
        <f>VLOOKUP(C3,'Member Details (HOF Only)'!$A$2:$U$219,4,FALSE)</f>
        <v>#N/A</v>
      </c>
      <c r="R3" s="13"/>
      <c r="S3" s="95" t="e">
        <f>VLOOKUP(C3,'Member Details (HOF Only)'!$A$2:$U$219,7,FALSE)</f>
        <v>#N/A</v>
      </c>
      <c r="T3" s="11">
        <f t="shared" ref="T3:T66" si="0">T2+D3</f>
        <v>0</v>
      </c>
    </row>
    <row r="4" spans="1:20" x14ac:dyDescent="0.2">
      <c r="A4" s="18"/>
      <c r="B4" s="85"/>
      <c r="C4" s="19"/>
      <c r="D4" s="31"/>
      <c r="E4" s="24"/>
      <c r="F4" s="16"/>
      <c r="G4" s="16"/>
      <c r="H4" s="16"/>
      <c r="I4" s="16"/>
      <c r="J4" s="20"/>
      <c r="K4" s="25"/>
      <c r="L4" s="16"/>
      <c r="M4" s="16"/>
      <c r="N4" s="16"/>
      <c r="O4" s="16" t="str">
        <f>IF(ISNA(VLOOKUP(C4,'Auction Summary'!$P$3:$R$600,2,FALSE)),"",VLOOKUP(C4,'Auction Summary'!$P$3:$R$600,2,FALSE))</f>
        <v/>
      </c>
      <c r="P4" s="16"/>
      <c r="Q4" s="95" t="e">
        <f>VLOOKUP(C4,'Member Details (HOF Only)'!$A$2:$U$219,4,FALSE)</f>
        <v>#N/A</v>
      </c>
      <c r="R4" s="13"/>
      <c r="S4" s="95" t="e">
        <f>VLOOKUP(C4,'Member Details (HOF Only)'!$A$2:$U$219,7,FALSE)</f>
        <v>#N/A</v>
      </c>
      <c r="T4" s="11">
        <f t="shared" si="0"/>
        <v>0</v>
      </c>
    </row>
    <row r="5" spans="1:20" x14ac:dyDescent="0.2">
      <c r="A5" s="18"/>
      <c r="B5" s="85"/>
      <c r="C5" s="19"/>
      <c r="D5" s="31"/>
      <c r="E5" s="24"/>
      <c r="F5" s="16"/>
      <c r="G5" s="16"/>
      <c r="H5" s="16"/>
      <c r="I5" s="16"/>
      <c r="J5" s="20"/>
      <c r="K5" s="25"/>
      <c r="L5" s="16"/>
      <c r="M5" s="16"/>
      <c r="N5" s="16"/>
      <c r="O5" s="16" t="str">
        <f>IF(ISNA(VLOOKUP(C5,'Auction Summary'!$P$3:$R$600,2,FALSE)),"",VLOOKUP(C5,'Auction Summary'!$P$3:$R$600,2,FALSE))</f>
        <v/>
      </c>
      <c r="P5" s="16"/>
      <c r="Q5" s="95" t="e">
        <f>VLOOKUP(C5,'Member Details (HOF Only)'!$A$2:$U$219,4,FALSE)</f>
        <v>#N/A</v>
      </c>
      <c r="R5" s="13"/>
      <c r="S5" s="95" t="e">
        <f>VLOOKUP(C5,'Member Details (HOF Only)'!$A$2:$U$219,7,FALSE)</f>
        <v>#N/A</v>
      </c>
      <c r="T5" s="11">
        <f t="shared" si="0"/>
        <v>0</v>
      </c>
    </row>
    <row r="6" spans="1:20" x14ac:dyDescent="0.2">
      <c r="A6" s="18"/>
      <c r="B6" s="85"/>
      <c r="C6" s="19"/>
      <c r="D6" s="31"/>
      <c r="E6" s="24"/>
      <c r="F6" s="16"/>
      <c r="G6" s="16"/>
      <c r="H6" s="16"/>
      <c r="I6" s="16"/>
      <c r="J6" s="20"/>
      <c r="K6" s="25"/>
      <c r="L6" s="16"/>
      <c r="M6" s="16"/>
      <c r="N6" s="16"/>
      <c r="O6" s="16" t="str">
        <f>IF(ISNA(VLOOKUP(C6,'Auction Summary'!$P$3:$R$600,2,FALSE)),"",VLOOKUP(C6,'Auction Summary'!$P$3:$R$600,2,FALSE))</f>
        <v/>
      </c>
      <c r="P6" s="16"/>
      <c r="Q6" s="95" t="e">
        <f>VLOOKUP(C6,'Member Details (HOF Only)'!$A$2:$U$219,4,FALSE)</f>
        <v>#N/A</v>
      </c>
      <c r="R6" s="13"/>
      <c r="S6" s="95" t="e">
        <f>VLOOKUP(C6,'Member Details (HOF Only)'!$A$2:$U$219,7,FALSE)</f>
        <v>#N/A</v>
      </c>
      <c r="T6" s="11">
        <f t="shared" si="0"/>
        <v>0</v>
      </c>
    </row>
    <row r="7" spans="1:20" x14ac:dyDescent="0.2">
      <c r="A7" s="18"/>
      <c r="B7" s="85"/>
      <c r="C7" s="19"/>
      <c r="D7" s="31"/>
      <c r="E7" s="24"/>
      <c r="F7" s="16"/>
      <c r="G7" s="16"/>
      <c r="H7" s="16"/>
      <c r="I7" s="16"/>
      <c r="J7" s="20"/>
      <c r="K7" s="25"/>
      <c r="L7" s="16"/>
      <c r="M7" s="16"/>
      <c r="N7" s="16"/>
      <c r="O7" s="16" t="str">
        <f>IF(ISNA(VLOOKUP(C7,'Auction Summary'!$P$3:$R$600,2,FALSE)),"",VLOOKUP(C7,'Auction Summary'!$P$3:$R$600,2,FALSE))</f>
        <v/>
      </c>
      <c r="P7" s="16"/>
      <c r="Q7" s="95" t="e">
        <f>VLOOKUP(C7,'Member Details (HOF Only)'!$A$2:$U$219,4,FALSE)</f>
        <v>#N/A</v>
      </c>
      <c r="R7" s="13"/>
      <c r="S7" s="95" t="e">
        <f>VLOOKUP(C7,'Member Details (HOF Only)'!$A$2:$U$219,7,FALSE)</f>
        <v>#N/A</v>
      </c>
      <c r="T7" s="11">
        <f t="shared" si="0"/>
        <v>0</v>
      </c>
    </row>
    <row r="8" spans="1:20" x14ac:dyDescent="0.2">
      <c r="A8" s="18"/>
      <c r="B8" s="85"/>
      <c r="C8" s="19"/>
      <c r="D8" s="31"/>
      <c r="E8" s="24"/>
      <c r="F8" s="16"/>
      <c r="G8" s="16"/>
      <c r="H8" s="16"/>
      <c r="I8" s="16"/>
      <c r="J8" s="20"/>
      <c r="K8" s="25"/>
      <c r="L8" s="16"/>
      <c r="M8" s="16"/>
      <c r="N8" s="16"/>
      <c r="O8" s="16" t="str">
        <f>IF(ISNA(VLOOKUP(C8,'Auction Summary'!$P$3:$R$600,2,FALSE)),"",VLOOKUP(C8,'Auction Summary'!$P$3:$R$600,2,FALSE))</f>
        <v/>
      </c>
      <c r="P8" s="16"/>
      <c r="Q8" s="95" t="e">
        <f>VLOOKUP(C8,'Member Details (HOF Only)'!$A$2:$U$219,4,FALSE)</f>
        <v>#N/A</v>
      </c>
      <c r="R8" s="13"/>
      <c r="S8" s="95" t="e">
        <f>VLOOKUP(C8,'Member Details (HOF Only)'!$A$2:$U$219,7,FALSE)</f>
        <v>#N/A</v>
      </c>
      <c r="T8" s="11">
        <f t="shared" si="0"/>
        <v>0</v>
      </c>
    </row>
    <row r="9" spans="1:20" x14ac:dyDescent="0.2">
      <c r="A9" s="18"/>
      <c r="B9" s="85"/>
      <c r="C9" s="19"/>
      <c r="D9" s="31"/>
      <c r="E9" s="24"/>
      <c r="F9" s="16"/>
      <c r="G9" s="16"/>
      <c r="H9" s="16"/>
      <c r="I9" s="16"/>
      <c r="J9" s="20"/>
      <c r="K9" s="25"/>
      <c r="L9" s="16"/>
      <c r="M9" s="16"/>
      <c r="N9" s="16"/>
      <c r="O9" s="16" t="str">
        <f>IF(ISNA(VLOOKUP(C9,'Auction Summary'!$P$3:$R$600,2,FALSE)),"",VLOOKUP(C9,'Auction Summary'!$P$3:$R$600,2,FALSE))</f>
        <v/>
      </c>
      <c r="P9" s="16"/>
      <c r="Q9" s="95" t="e">
        <f>VLOOKUP(C9,'Member Details (HOF Only)'!$A$2:$U$219,4,FALSE)</f>
        <v>#N/A</v>
      </c>
      <c r="R9" s="13"/>
      <c r="S9" s="95" t="e">
        <f>VLOOKUP(C9,'Member Details (HOF Only)'!$A$2:$U$219,7,FALSE)</f>
        <v>#N/A</v>
      </c>
      <c r="T9" s="11">
        <f t="shared" si="0"/>
        <v>0</v>
      </c>
    </row>
    <row r="10" spans="1:20" x14ac:dyDescent="0.2">
      <c r="A10" s="18"/>
      <c r="B10" s="85"/>
      <c r="C10" s="19"/>
      <c r="D10" s="31"/>
      <c r="E10" s="24"/>
      <c r="F10" s="16"/>
      <c r="G10" s="16"/>
      <c r="H10" s="16"/>
      <c r="I10" s="16"/>
      <c r="J10" s="20"/>
      <c r="K10" s="25"/>
      <c r="L10" s="16"/>
      <c r="M10" s="16"/>
      <c r="N10" s="16"/>
      <c r="O10" s="16" t="str">
        <f>IF(ISNA(VLOOKUP(C10,'Auction Summary'!$P$3:$R$600,2,FALSE)),"",VLOOKUP(C10,'Auction Summary'!$P$3:$R$600,2,FALSE))</f>
        <v/>
      </c>
      <c r="P10" s="16"/>
      <c r="Q10" s="95" t="e">
        <f>VLOOKUP(C10,'Member Details (HOF Only)'!$A$2:$U$219,4,FALSE)</f>
        <v>#N/A</v>
      </c>
      <c r="R10" s="13"/>
      <c r="S10" s="95" t="e">
        <f>VLOOKUP(C10,'Member Details (HOF Only)'!$A$2:$U$219,7,FALSE)</f>
        <v>#N/A</v>
      </c>
      <c r="T10" s="11">
        <f t="shared" si="0"/>
        <v>0</v>
      </c>
    </row>
    <row r="11" spans="1:20" x14ac:dyDescent="0.2">
      <c r="A11" s="18"/>
      <c r="B11" s="85"/>
      <c r="C11" s="19"/>
      <c r="D11" s="31"/>
      <c r="E11" s="24"/>
      <c r="F11" s="16"/>
      <c r="G11" s="16"/>
      <c r="H11" s="16"/>
      <c r="I11" s="16"/>
      <c r="J11" s="20"/>
      <c r="K11" s="25"/>
      <c r="L11" s="16"/>
      <c r="M11" s="16"/>
      <c r="N11" s="16"/>
      <c r="O11" s="16" t="str">
        <f>IF(ISNA(VLOOKUP(C11,'Auction Summary'!$P$3:$R$600,2,FALSE)),"",VLOOKUP(C11,'Auction Summary'!$P$3:$R$600,2,FALSE))</f>
        <v/>
      </c>
      <c r="P11" s="16"/>
      <c r="Q11" s="95" t="e">
        <f>VLOOKUP(C11,'Member Details (HOF Only)'!$A$2:$U$219,4,FALSE)</f>
        <v>#N/A</v>
      </c>
      <c r="R11" s="13"/>
      <c r="S11" s="95" t="e">
        <f>VLOOKUP(C11,'Member Details (HOF Only)'!$A$2:$U$219,7,FALSE)</f>
        <v>#N/A</v>
      </c>
      <c r="T11" s="11">
        <f t="shared" si="0"/>
        <v>0</v>
      </c>
    </row>
    <row r="12" spans="1:20" x14ac:dyDescent="0.2">
      <c r="A12" s="18"/>
      <c r="B12" s="85"/>
      <c r="C12" s="19"/>
      <c r="D12" s="31"/>
      <c r="E12" s="24"/>
      <c r="F12" s="16"/>
      <c r="G12" s="16"/>
      <c r="H12" s="16"/>
      <c r="I12" s="16"/>
      <c r="J12" s="20"/>
      <c r="K12" s="25"/>
      <c r="L12" s="16"/>
      <c r="M12" s="16"/>
      <c r="N12" s="16"/>
      <c r="O12" s="16" t="str">
        <f>IF(ISNA(VLOOKUP(C12,'Auction Summary'!$P$3:$R$600,2,FALSE)),"",VLOOKUP(C12,'Auction Summary'!$P$3:$R$600,2,FALSE))</f>
        <v/>
      </c>
      <c r="P12" s="16"/>
      <c r="Q12" s="95" t="e">
        <f>VLOOKUP(C12,'Member Details (HOF Only)'!$A$2:$U$219,4,FALSE)</f>
        <v>#N/A</v>
      </c>
      <c r="R12" s="13"/>
      <c r="S12" s="95" t="e">
        <f>VLOOKUP(C12,'Member Details (HOF Only)'!$A$2:$U$219,7,FALSE)</f>
        <v>#N/A</v>
      </c>
      <c r="T12" s="11">
        <f t="shared" si="0"/>
        <v>0</v>
      </c>
    </row>
    <row r="13" spans="1:20" x14ac:dyDescent="0.2">
      <c r="A13" s="18"/>
      <c r="B13" s="85"/>
      <c r="C13" s="19"/>
      <c r="D13" s="31"/>
      <c r="E13" s="24"/>
      <c r="F13" s="16"/>
      <c r="G13" s="16"/>
      <c r="H13" s="16"/>
      <c r="I13" s="16"/>
      <c r="J13" s="20"/>
      <c r="K13" s="25"/>
      <c r="L13" s="16"/>
      <c r="M13" s="16"/>
      <c r="N13" s="16"/>
      <c r="O13" s="16" t="str">
        <f>IF(ISNA(VLOOKUP(C13,'Auction Summary'!$P$3:$R$600,2,FALSE)),"",VLOOKUP(C13,'Auction Summary'!$P$3:$R$600,2,FALSE))</f>
        <v/>
      </c>
      <c r="P13" s="16"/>
      <c r="Q13" s="95" t="e">
        <f>VLOOKUP(C13,'Member Details (HOF Only)'!$A$2:$U$219,4,FALSE)</f>
        <v>#N/A</v>
      </c>
      <c r="R13" s="13"/>
      <c r="S13" s="95" t="e">
        <f>VLOOKUP(C13,'Member Details (HOF Only)'!$A$2:$U$219,7,FALSE)</f>
        <v>#N/A</v>
      </c>
      <c r="T13" s="11">
        <f t="shared" si="0"/>
        <v>0</v>
      </c>
    </row>
    <row r="14" spans="1:20" x14ac:dyDescent="0.2">
      <c r="A14" s="18"/>
      <c r="B14" s="85"/>
      <c r="C14" s="19"/>
      <c r="D14" s="31"/>
      <c r="E14" s="24"/>
      <c r="F14" s="16"/>
      <c r="G14" s="16"/>
      <c r="H14" s="16"/>
      <c r="I14" s="16"/>
      <c r="J14" s="20"/>
      <c r="K14" s="25"/>
      <c r="L14" s="16"/>
      <c r="M14" s="16"/>
      <c r="N14" s="16"/>
      <c r="O14" s="16" t="str">
        <f>IF(ISNA(VLOOKUP(C14,'Auction Summary'!$P$3:$R$600,2,FALSE)),"",VLOOKUP(C14,'Auction Summary'!$P$3:$R$600,2,FALSE))</f>
        <v/>
      </c>
      <c r="P14" s="16"/>
      <c r="Q14" s="95" t="e">
        <f>VLOOKUP(C14,'Member Details (HOF Only)'!$A$2:$U$219,4,FALSE)</f>
        <v>#N/A</v>
      </c>
      <c r="R14" s="13"/>
      <c r="S14" s="95" t="e">
        <f>VLOOKUP(C14,'Member Details (HOF Only)'!$A$2:$U$219,7,FALSE)</f>
        <v>#N/A</v>
      </c>
      <c r="T14" s="11">
        <f t="shared" si="0"/>
        <v>0</v>
      </c>
    </row>
    <row r="15" spans="1:20" x14ac:dyDescent="0.2">
      <c r="A15" s="18"/>
      <c r="B15" s="85"/>
      <c r="C15" s="19"/>
      <c r="D15" s="31"/>
      <c r="E15" s="24"/>
      <c r="F15" s="16"/>
      <c r="G15" s="16"/>
      <c r="H15" s="16"/>
      <c r="I15" s="16"/>
      <c r="J15" s="20"/>
      <c r="K15" s="25"/>
      <c r="L15" s="16"/>
      <c r="M15" s="16"/>
      <c r="N15" s="16"/>
      <c r="O15" s="16" t="str">
        <f>IF(ISNA(VLOOKUP(C15,'Auction Summary'!$P$3:$R$600,2,FALSE)),"",VLOOKUP(C15,'Auction Summary'!$P$3:$R$600,2,FALSE))</f>
        <v/>
      </c>
      <c r="P15" s="16"/>
      <c r="Q15" s="95" t="e">
        <f>VLOOKUP(C15,'Member Details (HOF Only)'!$A$2:$U$219,4,FALSE)</f>
        <v>#N/A</v>
      </c>
      <c r="R15" s="13"/>
      <c r="S15" s="95" t="e">
        <f>VLOOKUP(C15,'Member Details (HOF Only)'!$A$2:$U$219,7,FALSE)</f>
        <v>#N/A</v>
      </c>
      <c r="T15" s="11">
        <f t="shared" si="0"/>
        <v>0</v>
      </c>
    </row>
    <row r="16" spans="1:20" x14ac:dyDescent="0.2">
      <c r="A16" s="18"/>
      <c r="B16" s="85"/>
      <c r="C16" s="19"/>
      <c r="D16" s="31"/>
      <c r="E16" s="24"/>
      <c r="F16" s="16"/>
      <c r="G16" s="16"/>
      <c r="H16" s="16"/>
      <c r="I16" s="16"/>
      <c r="J16" s="20"/>
      <c r="K16" s="25"/>
      <c r="L16" s="16"/>
      <c r="M16" s="16"/>
      <c r="N16" s="16"/>
      <c r="O16" s="16" t="str">
        <f>IF(ISNA(VLOOKUP(C16,'Auction Summary'!$P$3:$R$600,2,FALSE)),"",VLOOKUP(C16,'Auction Summary'!$P$3:$R$600,2,FALSE))</f>
        <v/>
      </c>
      <c r="P16" s="16"/>
      <c r="Q16" s="95" t="e">
        <f>VLOOKUP(C16,'Member Details (HOF Only)'!$A$2:$U$219,4,FALSE)</f>
        <v>#N/A</v>
      </c>
      <c r="R16" s="13"/>
      <c r="S16" s="95" t="e">
        <f>VLOOKUP(C16,'Member Details (HOF Only)'!$A$2:$U$219,7,FALSE)</f>
        <v>#N/A</v>
      </c>
      <c r="T16" s="11">
        <f t="shared" si="0"/>
        <v>0</v>
      </c>
    </row>
    <row r="17" spans="1:20" x14ac:dyDescent="0.2">
      <c r="A17" s="18"/>
      <c r="B17" s="85"/>
      <c r="C17" s="19"/>
      <c r="D17" s="31"/>
      <c r="E17" s="24"/>
      <c r="F17" s="16"/>
      <c r="G17" s="16"/>
      <c r="H17" s="16"/>
      <c r="I17" s="16"/>
      <c r="J17" s="20"/>
      <c r="K17" s="25"/>
      <c r="L17" s="16"/>
      <c r="M17" s="16"/>
      <c r="N17" s="16"/>
      <c r="O17" s="16" t="str">
        <f>IF(ISNA(VLOOKUP(C17,'Auction Summary'!$P$3:$R$600,2,FALSE)),"",VLOOKUP(C17,'Auction Summary'!$P$3:$R$600,2,FALSE))</f>
        <v/>
      </c>
      <c r="P17" s="16"/>
      <c r="Q17" s="95" t="e">
        <f>VLOOKUP(C17,'Member Details (HOF Only)'!$A$2:$U$219,4,FALSE)</f>
        <v>#N/A</v>
      </c>
      <c r="R17" s="13"/>
      <c r="S17" s="95" t="e">
        <f>VLOOKUP(C17,'Member Details (HOF Only)'!$A$2:$U$219,7,FALSE)</f>
        <v>#N/A</v>
      </c>
      <c r="T17" s="11">
        <f t="shared" si="0"/>
        <v>0</v>
      </c>
    </row>
    <row r="18" spans="1:20" x14ac:dyDescent="0.2">
      <c r="A18" s="18"/>
      <c r="B18" s="85"/>
      <c r="C18" s="19"/>
      <c r="D18" s="31"/>
      <c r="E18" s="24"/>
      <c r="F18" s="16"/>
      <c r="G18" s="16"/>
      <c r="H18" s="16"/>
      <c r="I18" s="16"/>
      <c r="J18" s="20"/>
      <c r="K18" s="25"/>
      <c r="L18" s="16"/>
      <c r="M18" s="16"/>
      <c r="N18" s="16"/>
      <c r="O18" s="16" t="str">
        <f>IF(ISNA(VLOOKUP(C18,'Auction Summary'!$P$3:$R$600,2,FALSE)),"",VLOOKUP(C18,'Auction Summary'!$P$3:$R$600,2,FALSE))</f>
        <v/>
      </c>
      <c r="P18" s="16"/>
      <c r="Q18" s="95" t="e">
        <f>VLOOKUP(C18,'Member Details (HOF Only)'!$A$2:$U$219,4,FALSE)</f>
        <v>#N/A</v>
      </c>
      <c r="R18" s="13"/>
      <c r="S18" s="95" t="e">
        <f>VLOOKUP(C18,'Member Details (HOF Only)'!$A$2:$U$219,7,FALSE)</f>
        <v>#N/A</v>
      </c>
      <c r="T18" s="11">
        <f t="shared" si="0"/>
        <v>0</v>
      </c>
    </row>
    <row r="19" spans="1:20" x14ac:dyDescent="0.2">
      <c r="A19" s="18"/>
      <c r="B19" s="85"/>
      <c r="C19" s="19"/>
      <c r="D19" s="31"/>
      <c r="E19" s="24"/>
      <c r="F19" s="16"/>
      <c r="G19" s="16"/>
      <c r="H19" s="16"/>
      <c r="I19" s="16"/>
      <c r="J19" s="20"/>
      <c r="K19" s="25"/>
      <c r="L19" s="16"/>
      <c r="M19" s="16"/>
      <c r="N19" s="16"/>
      <c r="O19" s="16" t="str">
        <f>IF(ISNA(VLOOKUP(C19,'Auction Summary'!$P$3:$R$600,2,FALSE)),"",VLOOKUP(C19,'Auction Summary'!$P$3:$R$600,2,FALSE))</f>
        <v/>
      </c>
      <c r="P19" s="16"/>
      <c r="Q19" s="95" t="e">
        <f>VLOOKUP(C19,'Member Details (HOF Only)'!$A$2:$U$219,4,FALSE)</f>
        <v>#N/A</v>
      </c>
      <c r="R19" s="13"/>
      <c r="S19" s="95" t="e">
        <f>VLOOKUP(C19,'Member Details (HOF Only)'!$A$2:$U$219,7,FALSE)</f>
        <v>#N/A</v>
      </c>
      <c r="T19" s="11">
        <f t="shared" si="0"/>
        <v>0</v>
      </c>
    </row>
    <row r="20" spans="1:20" x14ac:dyDescent="0.2">
      <c r="A20" s="18"/>
      <c r="B20" s="85"/>
      <c r="C20" s="19"/>
      <c r="D20" s="31"/>
      <c r="E20" s="24"/>
      <c r="F20" s="16"/>
      <c r="G20" s="16"/>
      <c r="H20" s="16"/>
      <c r="I20" s="16"/>
      <c r="J20" s="20"/>
      <c r="K20" s="25"/>
      <c r="L20" s="16"/>
      <c r="M20" s="16"/>
      <c r="N20" s="16"/>
      <c r="O20" s="16" t="str">
        <f>IF(ISNA(VLOOKUP(C20,'Auction Summary'!$P$3:$R$600,2,FALSE)),"",VLOOKUP(C20,'Auction Summary'!$P$3:$R$600,2,FALSE))</f>
        <v/>
      </c>
      <c r="P20" s="16"/>
      <c r="Q20" s="95" t="e">
        <f>VLOOKUP(C20,'Member Details (HOF Only)'!$A$2:$U$219,4,FALSE)</f>
        <v>#N/A</v>
      </c>
      <c r="R20" s="13"/>
      <c r="S20" s="95" t="e">
        <f>VLOOKUP(C20,'Member Details (HOF Only)'!$A$2:$U$219,7,FALSE)</f>
        <v>#N/A</v>
      </c>
      <c r="T20" s="11">
        <f t="shared" si="0"/>
        <v>0</v>
      </c>
    </row>
    <row r="21" spans="1:20" x14ac:dyDescent="0.2">
      <c r="A21" s="18"/>
      <c r="B21" s="85"/>
      <c r="C21" s="19"/>
      <c r="D21" s="31"/>
      <c r="E21" s="24"/>
      <c r="F21" s="16"/>
      <c r="G21" s="16"/>
      <c r="H21" s="16"/>
      <c r="I21" s="16"/>
      <c r="J21" s="20"/>
      <c r="K21" s="25"/>
      <c r="L21" s="16"/>
      <c r="M21" s="16"/>
      <c r="N21" s="16"/>
      <c r="O21" s="16" t="str">
        <f>IF(ISNA(VLOOKUP(C21,'Auction Summary'!$P$3:$R$600,2,FALSE)),"",VLOOKUP(C21,'Auction Summary'!$P$3:$R$600,2,FALSE))</f>
        <v/>
      </c>
      <c r="P21" s="16"/>
      <c r="Q21" s="95" t="e">
        <f>VLOOKUP(C21,'Member Details (HOF Only)'!$A$2:$U$219,4,FALSE)</f>
        <v>#N/A</v>
      </c>
      <c r="R21" s="13"/>
      <c r="S21" s="95" t="e">
        <f>VLOOKUP(C21,'Member Details (HOF Only)'!$A$2:$U$219,7,FALSE)</f>
        <v>#N/A</v>
      </c>
      <c r="T21" s="11">
        <f t="shared" si="0"/>
        <v>0</v>
      </c>
    </row>
    <row r="22" spans="1:20" x14ac:dyDescent="0.2">
      <c r="A22" s="18"/>
      <c r="B22" s="85"/>
      <c r="C22" s="19"/>
      <c r="D22" s="31"/>
      <c r="E22" s="24"/>
      <c r="F22" s="16"/>
      <c r="G22" s="16"/>
      <c r="H22" s="16"/>
      <c r="I22" s="16"/>
      <c r="J22" s="20"/>
      <c r="K22" s="25"/>
      <c r="L22" s="16"/>
      <c r="M22" s="16"/>
      <c r="N22" s="16"/>
      <c r="O22" s="16" t="str">
        <f>IF(ISNA(VLOOKUP(C22,'Auction Summary'!$P$3:$R$600,2,FALSE)),"",VLOOKUP(C22,'Auction Summary'!$P$3:$R$600,2,FALSE))</f>
        <v/>
      </c>
      <c r="P22" s="16"/>
      <c r="Q22" s="95" t="e">
        <f>VLOOKUP(C22,'Member Details (HOF Only)'!$A$2:$U$219,4,FALSE)</f>
        <v>#N/A</v>
      </c>
      <c r="R22" s="13"/>
      <c r="S22" s="95" t="e">
        <f>VLOOKUP(C22,'Member Details (HOF Only)'!$A$2:$U$219,7,FALSE)</f>
        <v>#N/A</v>
      </c>
      <c r="T22" s="11">
        <f t="shared" si="0"/>
        <v>0</v>
      </c>
    </row>
    <row r="23" spans="1:20" x14ac:dyDescent="0.2">
      <c r="A23" s="18"/>
      <c r="B23" s="85"/>
      <c r="C23" s="19"/>
      <c r="D23" s="31"/>
      <c r="E23" s="24"/>
      <c r="F23" s="16"/>
      <c r="G23" s="16"/>
      <c r="H23" s="16"/>
      <c r="I23" s="16"/>
      <c r="J23" s="20"/>
      <c r="K23" s="25"/>
      <c r="L23" s="16"/>
      <c r="M23" s="16"/>
      <c r="N23" s="16"/>
      <c r="O23" s="16" t="str">
        <f>IF(ISNA(VLOOKUP(C23,'Auction Summary'!$P$3:$R$600,2,FALSE)),"",VLOOKUP(C23,'Auction Summary'!$P$3:$R$600,2,FALSE))</f>
        <v/>
      </c>
      <c r="P23" s="16"/>
      <c r="Q23" s="95" t="e">
        <f>VLOOKUP(C23,'Member Details (HOF Only)'!$A$2:$U$219,4,FALSE)</f>
        <v>#N/A</v>
      </c>
      <c r="R23" s="13"/>
      <c r="S23" s="95" t="e">
        <f>VLOOKUP(C23,'Member Details (HOF Only)'!$A$2:$U$219,7,FALSE)</f>
        <v>#N/A</v>
      </c>
      <c r="T23" s="11">
        <f t="shared" si="0"/>
        <v>0</v>
      </c>
    </row>
    <row r="24" spans="1:20" x14ac:dyDescent="0.2">
      <c r="A24" s="18"/>
      <c r="B24" s="85"/>
      <c r="C24" s="19"/>
      <c r="D24" s="31"/>
      <c r="E24" s="24"/>
      <c r="F24" s="16"/>
      <c r="G24" s="16"/>
      <c r="H24" s="16"/>
      <c r="I24" s="16"/>
      <c r="J24" s="20"/>
      <c r="K24" s="25"/>
      <c r="L24" s="16"/>
      <c r="M24" s="16"/>
      <c r="N24" s="16"/>
      <c r="O24" s="16" t="str">
        <f>IF(ISNA(VLOOKUP(C24,'Auction Summary'!$P$3:$R$600,2,FALSE)),"",VLOOKUP(C24,'Auction Summary'!$P$3:$R$600,2,FALSE))</f>
        <v/>
      </c>
      <c r="P24" s="16"/>
      <c r="Q24" s="95" t="e">
        <f>VLOOKUP(C24,'Member Details (HOF Only)'!$A$2:$U$219,4,FALSE)</f>
        <v>#N/A</v>
      </c>
      <c r="R24" s="16"/>
      <c r="S24" s="95" t="e">
        <f>VLOOKUP(C24,'Member Details (HOF Only)'!$A$2:$U$219,7,FALSE)</f>
        <v>#N/A</v>
      </c>
      <c r="T24" s="11">
        <f t="shared" si="0"/>
        <v>0</v>
      </c>
    </row>
    <row r="25" spans="1:20" x14ac:dyDescent="0.2">
      <c r="A25" s="18"/>
      <c r="B25" s="85"/>
      <c r="C25" s="19"/>
      <c r="D25" s="31"/>
      <c r="E25" s="24"/>
      <c r="F25" s="16"/>
      <c r="G25" s="16"/>
      <c r="H25" s="16"/>
      <c r="I25" s="16"/>
      <c r="J25" s="20"/>
      <c r="K25" s="25"/>
      <c r="L25" s="16"/>
      <c r="M25" s="16"/>
      <c r="N25" s="16"/>
      <c r="O25" s="16" t="str">
        <f>IF(ISNA(VLOOKUP(C25,'Auction Summary'!$P$3:$R$600,2,FALSE)),"",VLOOKUP(C25,'Auction Summary'!$P$3:$R$600,2,FALSE))</f>
        <v/>
      </c>
      <c r="P25" s="16"/>
      <c r="Q25" s="95" t="e">
        <f>VLOOKUP(C25,'Member Details (HOF Only)'!$A$2:$U$219,4,FALSE)</f>
        <v>#N/A</v>
      </c>
      <c r="R25" s="13"/>
      <c r="S25" s="95" t="e">
        <f>VLOOKUP(C25,'Member Details (HOF Only)'!$A$2:$U$219,7,FALSE)</f>
        <v>#N/A</v>
      </c>
      <c r="T25" s="11">
        <f t="shared" si="0"/>
        <v>0</v>
      </c>
    </row>
    <row r="26" spans="1:20" x14ac:dyDescent="0.2">
      <c r="A26" s="18"/>
      <c r="B26" s="85"/>
      <c r="C26" s="19"/>
      <c r="D26" s="31"/>
      <c r="E26" s="24"/>
      <c r="F26" s="16"/>
      <c r="G26" s="16"/>
      <c r="H26" s="16"/>
      <c r="I26" s="16"/>
      <c r="J26" s="20"/>
      <c r="K26" s="25"/>
      <c r="L26" s="16"/>
      <c r="M26" s="16"/>
      <c r="N26" s="16"/>
      <c r="O26" s="16" t="str">
        <f>IF(ISNA(VLOOKUP(C26,'Auction Summary'!$P$3:$R$600,2,FALSE)),"",VLOOKUP(C26,'Auction Summary'!$P$3:$R$600,2,FALSE))</f>
        <v/>
      </c>
      <c r="P26" s="16"/>
      <c r="Q26" s="95" t="e">
        <f>VLOOKUP(C26,'Member Details (HOF Only)'!$A$2:$U$219,4,FALSE)</f>
        <v>#N/A</v>
      </c>
      <c r="R26" s="16"/>
      <c r="S26" s="95" t="e">
        <f>VLOOKUP(C26,'Member Details (HOF Only)'!$A$2:$U$219,7,FALSE)</f>
        <v>#N/A</v>
      </c>
      <c r="T26" s="11">
        <f t="shared" si="0"/>
        <v>0</v>
      </c>
    </row>
    <row r="27" spans="1:20" x14ac:dyDescent="0.2">
      <c r="A27" s="18"/>
      <c r="B27" s="85"/>
      <c r="C27" s="19"/>
      <c r="D27" s="31"/>
      <c r="E27" s="24"/>
      <c r="F27" s="16"/>
      <c r="G27" s="16"/>
      <c r="H27" s="16"/>
      <c r="I27" s="16"/>
      <c r="J27" s="20"/>
      <c r="K27" s="25"/>
      <c r="L27" s="16"/>
      <c r="M27" s="16"/>
      <c r="N27" s="16"/>
      <c r="O27" s="16" t="str">
        <f>IF(ISNA(VLOOKUP(C27,'Auction Summary'!$P$3:$R$600,2,FALSE)),"",VLOOKUP(C27,'Auction Summary'!$P$3:$R$600,2,FALSE))</f>
        <v/>
      </c>
      <c r="P27" s="16"/>
      <c r="Q27" s="95" t="e">
        <f>VLOOKUP(C27,'Member Details (HOF Only)'!$A$2:$U$219,4,FALSE)</f>
        <v>#N/A</v>
      </c>
      <c r="R27" s="13"/>
      <c r="S27" s="95" t="e">
        <f>VLOOKUP(C27,'Member Details (HOF Only)'!$A$2:$U$219,7,FALSE)</f>
        <v>#N/A</v>
      </c>
      <c r="T27" s="11">
        <f t="shared" si="0"/>
        <v>0</v>
      </c>
    </row>
    <row r="28" spans="1:20" x14ac:dyDescent="0.2">
      <c r="A28" s="18"/>
      <c r="B28" s="85"/>
      <c r="C28" s="19"/>
      <c r="D28" s="31"/>
      <c r="E28" s="24"/>
      <c r="F28" s="16"/>
      <c r="G28" s="16"/>
      <c r="H28" s="16"/>
      <c r="I28" s="16"/>
      <c r="J28" s="20"/>
      <c r="K28" s="25"/>
      <c r="L28" s="16"/>
      <c r="M28" s="16"/>
      <c r="N28" s="16"/>
      <c r="O28" s="16" t="str">
        <f>IF(ISNA(VLOOKUP(C28,'Auction Summary'!$P$3:$R$600,2,FALSE)),"",VLOOKUP(C28,'Auction Summary'!$P$3:$R$600,2,FALSE))</f>
        <v/>
      </c>
      <c r="P28" s="16"/>
      <c r="Q28" s="95" t="e">
        <f>VLOOKUP(C28,'Member Details (HOF Only)'!$A$2:$U$219,4,FALSE)</f>
        <v>#N/A</v>
      </c>
      <c r="R28" s="13"/>
      <c r="S28" s="95" t="e">
        <f>VLOOKUP(C28,'Member Details (HOF Only)'!$A$2:$U$219,7,FALSE)</f>
        <v>#N/A</v>
      </c>
      <c r="T28" s="11">
        <f t="shared" si="0"/>
        <v>0</v>
      </c>
    </row>
    <row r="29" spans="1:20" x14ac:dyDescent="0.2">
      <c r="A29" s="18"/>
      <c r="B29" s="85"/>
      <c r="C29" s="19"/>
      <c r="D29" s="31"/>
      <c r="E29" s="24"/>
      <c r="F29" s="16"/>
      <c r="G29" s="16"/>
      <c r="H29" s="16"/>
      <c r="I29" s="16"/>
      <c r="J29" s="20"/>
      <c r="K29" s="25"/>
      <c r="L29" s="16"/>
      <c r="M29" s="16"/>
      <c r="N29" s="16"/>
      <c r="O29" s="16" t="str">
        <f>IF(ISNA(VLOOKUP(C29,'Auction Summary'!$P$3:$R$600,2,FALSE)),"",VLOOKUP(C29,'Auction Summary'!$P$3:$R$600,2,FALSE))</f>
        <v/>
      </c>
      <c r="P29" s="16"/>
      <c r="Q29" s="95" t="e">
        <f>VLOOKUP(C29,'Member Details (HOF Only)'!$A$2:$U$219,4,FALSE)</f>
        <v>#N/A</v>
      </c>
      <c r="R29" s="13"/>
      <c r="S29" s="95" t="e">
        <f>VLOOKUP(C29,'Member Details (HOF Only)'!$A$2:$U$219,7,FALSE)</f>
        <v>#N/A</v>
      </c>
      <c r="T29" s="11">
        <f t="shared" si="0"/>
        <v>0</v>
      </c>
    </row>
    <row r="30" spans="1:20" x14ac:dyDescent="0.2">
      <c r="A30" s="18"/>
      <c r="B30" s="85"/>
      <c r="C30" s="19"/>
      <c r="D30" s="31"/>
      <c r="E30" s="24"/>
      <c r="F30" s="16"/>
      <c r="G30" s="16"/>
      <c r="H30" s="16"/>
      <c r="I30" s="16"/>
      <c r="J30" s="20"/>
      <c r="K30" s="25"/>
      <c r="L30" s="16"/>
      <c r="M30" s="16"/>
      <c r="N30" s="16"/>
      <c r="O30" s="16" t="str">
        <f>IF(ISNA(VLOOKUP(C30,'Auction Summary'!$P$3:$R$600,2,FALSE)),"",VLOOKUP(C30,'Auction Summary'!$P$3:$R$600,2,FALSE))</f>
        <v/>
      </c>
      <c r="P30" s="16"/>
      <c r="Q30" s="95" t="e">
        <f>VLOOKUP(C30,'Member Details (HOF Only)'!$A$2:$U$219,4,FALSE)</f>
        <v>#N/A</v>
      </c>
      <c r="R30" s="13"/>
      <c r="S30" s="95" t="e">
        <f>VLOOKUP(C30,'Member Details (HOF Only)'!$A$2:$U$219,7,FALSE)</f>
        <v>#N/A</v>
      </c>
      <c r="T30" s="11">
        <f t="shared" si="0"/>
        <v>0</v>
      </c>
    </row>
    <row r="31" spans="1:20" x14ac:dyDescent="0.2">
      <c r="A31" s="18"/>
      <c r="B31" s="85"/>
      <c r="C31" s="19"/>
      <c r="D31" s="31"/>
      <c r="E31" s="24"/>
      <c r="F31" s="16"/>
      <c r="G31" s="16"/>
      <c r="H31" s="16"/>
      <c r="I31" s="16"/>
      <c r="J31" s="20"/>
      <c r="K31" s="25"/>
      <c r="L31" s="16"/>
      <c r="M31" s="16"/>
      <c r="N31" s="16"/>
      <c r="O31" s="16" t="str">
        <f>IF(ISNA(VLOOKUP(C31,'Auction Summary'!$P$3:$R$600,2,FALSE)),"",VLOOKUP(C31,'Auction Summary'!$P$3:$R$600,2,FALSE))</f>
        <v/>
      </c>
      <c r="P31" s="16"/>
      <c r="Q31" s="95" t="e">
        <f>VLOOKUP(C31,'Member Details (HOF Only)'!$A$2:$U$219,4,FALSE)</f>
        <v>#N/A</v>
      </c>
      <c r="R31" s="13"/>
      <c r="S31" s="95" t="e">
        <f>VLOOKUP(C31,'Member Details (HOF Only)'!$A$2:$U$219,7,FALSE)</f>
        <v>#N/A</v>
      </c>
      <c r="T31" s="11">
        <f t="shared" si="0"/>
        <v>0</v>
      </c>
    </row>
    <row r="32" spans="1:20" x14ac:dyDescent="0.2">
      <c r="A32" s="18"/>
      <c r="B32" s="85"/>
      <c r="C32" s="19"/>
      <c r="D32" s="31"/>
      <c r="E32" s="24"/>
      <c r="F32" s="16"/>
      <c r="G32" s="16"/>
      <c r="H32" s="16"/>
      <c r="I32" s="16"/>
      <c r="J32" s="20"/>
      <c r="K32" s="25"/>
      <c r="L32" s="16"/>
      <c r="M32" s="16"/>
      <c r="N32" s="16"/>
      <c r="O32" s="16" t="str">
        <f>IF(ISNA(VLOOKUP(C32,'Auction Summary'!$P$3:$R$600,2,FALSE)),"",VLOOKUP(C32,'Auction Summary'!$P$3:$R$600,2,FALSE))</f>
        <v/>
      </c>
      <c r="P32" s="16"/>
      <c r="Q32" s="95" t="e">
        <f>VLOOKUP(C32,'Member Details (HOF Only)'!$A$2:$U$219,4,FALSE)</f>
        <v>#N/A</v>
      </c>
      <c r="R32" s="13"/>
      <c r="S32" s="95" t="e">
        <f>VLOOKUP(C32,'Member Details (HOF Only)'!$A$2:$U$219,7,FALSE)</f>
        <v>#N/A</v>
      </c>
      <c r="T32" s="11">
        <f t="shared" si="0"/>
        <v>0</v>
      </c>
    </row>
    <row r="33" spans="1:20" x14ac:dyDescent="0.2">
      <c r="A33" s="18"/>
      <c r="B33" s="85"/>
      <c r="C33" s="19"/>
      <c r="D33" s="31"/>
      <c r="E33" s="24"/>
      <c r="F33" s="16"/>
      <c r="G33" s="16"/>
      <c r="H33" s="16"/>
      <c r="I33" s="16"/>
      <c r="J33" s="20"/>
      <c r="K33" s="25"/>
      <c r="L33" s="16"/>
      <c r="M33" s="16"/>
      <c r="N33" s="16"/>
      <c r="O33" s="16" t="str">
        <f>IF(ISNA(VLOOKUP(C33,'Auction Summary'!$P$3:$R$600,2,FALSE)),"",VLOOKUP(C33,'Auction Summary'!$P$3:$R$600,2,FALSE))</f>
        <v/>
      </c>
      <c r="P33" s="16"/>
      <c r="Q33" s="95" t="e">
        <f>VLOOKUP(C33,'Member Details (HOF Only)'!$A$2:$U$219,4,FALSE)</f>
        <v>#N/A</v>
      </c>
      <c r="R33" s="13"/>
      <c r="S33" s="95" t="e">
        <f>VLOOKUP(C33,'Member Details (HOF Only)'!$A$2:$U$219,7,FALSE)</f>
        <v>#N/A</v>
      </c>
      <c r="T33" s="11">
        <f t="shared" si="0"/>
        <v>0</v>
      </c>
    </row>
    <row r="34" spans="1:20" x14ac:dyDescent="0.2">
      <c r="A34" s="18"/>
      <c r="B34" s="85"/>
      <c r="C34" s="19"/>
      <c r="D34" s="31"/>
      <c r="E34" s="24"/>
      <c r="F34" s="16"/>
      <c r="G34" s="16"/>
      <c r="H34" s="16"/>
      <c r="I34" s="16"/>
      <c r="J34" s="20"/>
      <c r="K34" s="25"/>
      <c r="L34" s="16"/>
      <c r="M34" s="16"/>
      <c r="N34" s="16"/>
      <c r="O34" s="16" t="str">
        <f>IF(ISNA(VLOOKUP(C34,'Auction Summary'!$P$3:$R$600,2,FALSE)),"",VLOOKUP(C34,'Auction Summary'!$P$3:$R$600,2,FALSE))</f>
        <v/>
      </c>
      <c r="P34" s="16"/>
      <c r="Q34" s="95" t="e">
        <f>VLOOKUP(C34,'Member Details (HOF Only)'!$A$2:$U$219,4,FALSE)</f>
        <v>#N/A</v>
      </c>
      <c r="R34" s="13"/>
      <c r="S34" s="95" t="e">
        <f>VLOOKUP(C34,'Member Details (HOF Only)'!$A$2:$U$219,7,FALSE)</f>
        <v>#N/A</v>
      </c>
      <c r="T34" s="11">
        <f t="shared" si="0"/>
        <v>0</v>
      </c>
    </row>
    <row r="35" spans="1:20" x14ac:dyDescent="0.2">
      <c r="A35" s="18"/>
      <c r="B35" s="85"/>
      <c r="C35" s="19"/>
      <c r="D35" s="31"/>
      <c r="E35" s="24"/>
      <c r="F35" s="16"/>
      <c r="G35" s="16"/>
      <c r="H35" s="16"/>
      <c r="I35" s="16"/>
      <c r="J35" s="20"/>
      <c r="K35" s="25"/>
      <c r="L35" s="16"/>
      <c r="M35" s="16"/>
      <c r="N35" s="16"/>
      <c r="O35" s="16" t="str">
        <f>IF(ISNA(VLOOKUP(C35,'Auction Summary'!$P$3:$R$600,2,FALSE)),"",VLOOKUP(C35,'Auction Summary'!$P$3:$R$600,2,FALSE))</f>
        <v/>
      </c>
      <c r="P35" s="16"/>
      <c r="Q35" s="95" t="e">
        <f>VLOOKUP(C35,'Member Details (HOF Only)'!$A$2:$U$219,4,FALSE)</f>
        <v>#N/A</v>
      </c>
      <c r="R35" s="13"/>
      <c r="S35" s="95" t="e">
        <f>VLOOKUP(C35,'Member Details (HOF Only)'!$A$2:$U$219,7,FALSE)</f>
        <v>#N/A</v>
      </c>
      <c r="T35" s="11">
        <f t="shared" si="0"/>
        <v>0</v>
      </c>
    </row>
    <row r="36" spans="1:20" x14ac:dyDescent="0.2">
      <c r="A36" s="18"/>
      <c r="B36" s="85"/>
      <c r="C36" s="19"/>
      <c r="D36" s="31"/>
      <c r="E36" s="24"/>
      <c r="F36" s="16"/>
      <c r="G36" s="16"/>
      <c r="H36" s="16"/>
      <c r="I36" s="16"/>
      <c r="J36" s="20"/>
      <c r="K36" s="25"/>
      <c r="L36" s="16"/>
      <c r="M36" s="16"/>
      <c r="N36" s="16"/>
      <c r="O36" s="16" t="str">
        <f>IF(ISNA(VLOOKUP(C36,'Auction Summary'!$P$3:$R$600,2,FALSE)),"",VLOOKUP(C36,'Auction Summary'!$P$3:$R$600,2,FALSE))</f>
        <v/>
      </c>
      <c r="P36" s="16"/>
      <c r="Q36" s="95" t="e">
        <f>VLOOKUP(C36,'Member Details (HOF Only)'!$A$2:$U$219,4,FALSE)</f>
        <v>#N/A</v>
      </c>
      <c r="R36" s="13"/>
      <c r="S36" s="95" t="e">
        <f>VLOOKUP(C36,'Member Details (HOF Only)'!$A$2:$U$219,7,FALSE)</f>
        <v>#N/A</v>
      </c>
      <c r="T36" s="11">
        <f t="shared" si="0"/>
        <v>0</v>
      </c>
    </row>
    <row r="37" spans="1:20" x14ac:dyDescent="0.2">
      <c r="A37" s="18"/>
      <c r="B37" s="85"/>
      <c r="C37" s="19"/>
      <c r="D37" s="31"/>
      <c r="E37" s="24"/>
      <c r="F37" s="16"/>
      <c r="G37" s="16"/>
      <c r="H37" s="16"/>
      <c r="I37" s="16"/>
      <c r="J37" s="20"/>
      <c r="K37" s="25"/>
      <c r="L37" s="16"/>
      <c r="M37" s="16"/>
      <c r="N37" s="16"/>
      <c r="O37" s="16" t="str">
        <f>IF(ISNA(VLOOKUP(C37,'Auction Summary'!$P$3:$R$600,2,FALSE)),"",VLOOKUP(C37,'Auction Summary'!$P$3:$R$600,2,FALSE))</f>
        <v/>
      </c>
      <c r="P37" s="16"/>
      <c r="Q37" s="95" t="e">
        <f>VLOOKUP(C37,'Member Details (HOF Only)'!$A$2:$U$219,4,FALSE)</f>
        <v>#N/A</v>
      </c>
      <c r="R37" s="13"/>
      <c r="S37" s="95" t="e">
        <f>VLOOKUP(C37,'Member Details (HOF Only)'!$A$2:$U$219,7,FALSE)</f>
        <v>#N/A</v>
      </c>
      <c r="T37" s="11">
        <f t="shared" si="0"/>
        <v>0</v>
      </c>
    </row>
    <row r="38" spans="1:20" x14ac:dyDescent="0.2">
      <c r="A38" s="18"/>
      <c r="B38" s="85"/>
      <c r="C38" s="19"/>
      <c r="D38" s="31"/>
      <c r="E38" s="24"/>
      <c r="F38" s="16"/>
      <c r="G38" s="16"/>
      <c r="H38" s="16"/>
      <c r="I38" s="16"/>
      <c r="J38" s="20"/>
      <c r="K38" s="25"/>
      <c r="L38" s="16"/>
      <c r="M38" s="16"/>
      <c r="N38" s="16"/>
      <c r="O38" s="16" t="str">
        <f>IF(ISNA(VLOOKUP(C38,'Auction Summary'!$P$3:$R$600,2,FALSE)),"",VLOOKUP(C38,'Auction Summary'!$P$3:$R$600,2,FALSE))</f>
        <v/>
      </c>
      <c r="P38" s="16"/>
      <c r="Q38" s="95" t="e">
        <f>VLOOKUP(C38,'Member Details (HOF Only)'!$A$2:$U$219,4,FALSE)</f>
        <v>#N/A</v>
      </c>
      <c r="R38" s="13"/>
      <c r="S38" s="95" t="e">
        <f>VLOOKUP(C38,'Member Details (HOF Only)'!$A$2:$U$219,7,FALSE)</f>
        <v>#N/A</v>
      </c>
      <c r="T38" s="11">
        <f t="shared" si="0"/>
        <v>0</v>
      </c>
    </row>
    <row r="39" spans="1:20" x14ac:dyDescent="0.2">
      <c r="A39" s="18"/>
      <c r="B39" s="85"/>
      <c r="C39" s="19"/>
      <c r="D39" s="31"/>
      <c r="E39" s="24"/>
      <c r="F39" s="16"/>
      <c r="G39" s="16"/>
      <c r="H39" s="16"/>
      <c r="I39" s="16"/>
      <c r="J39" s="20"/>
      <c r="K39" s="25"/>
      <c r="L39" s="16"/>
      <c r="M39" s="16"/>
      <c r="N39" s="16"/>
      <c r="O39" s="16" t="str">
        <f>IF(ISNA(VLOOKUP(C39,'Auction Summary'!$P$3:$R$600,2,FALSE)),"",VLOOKUP(C39,'Auction Summary'!$P$3:$R$600,2,FALSE))</f>
        <v/>
      </c>
      <c r="P39" s="16"/>
      <c r="Q39" s="95" t="e">
        <f>VLOOKUP(C39,'Member Details (HOF Only)'!$A$2:$U$219,4,FALSE)</f>
        <v>#N/A</v>
      </c>
      <c r="R39" s="13"/>
      <c r="S39" s="95" t="e">
        <f>VLOOKUP(C39,'Member Details (HOF Only)'!$A$2:$U$219,7,FALSE)</f>
        <v>#N/A</v>
      </c>
      <c r="T39" s="11">
        <f t="shared" si="0"/>
        <v>0</v>
      </c>
    </row>
    <row r="40" spans="1:20" x14ac:dyDescent="0.2">
      <c r="A40" s="18"/>
      <c r="B40" s="85"/>
      <c r="C40" s="19"/>
      <c r="D40" s="31"/>
      <c r="E40" s="24"/>
      <c r="F40" s="16"/>
      <c r="G40" s="16"/>
      <c r="H40" s="16"/>
      <c r="I40" s="16"/>
      <c r="J40" s="20"/>
      <c r="K40" s="25"/>
      <c r="L40" s="16"/>
      <c r="M40" s="16"/>
      <c r="N40" s="16"/>
      <c r="O40" s="16" t="str">
        <f>IF(ISNA(VLOOKUP(C40,'Auction Summary'!$P$3:$R$600,2,FALSE)),"",VLOOKUP(C40,'Auction Summary'!$P$3:$R$600,2,FALSE))</f>
        <v/>
      </c>
      <c r="P40" s="16"/>
      <c r="Q40" s="95" t="e">
        <f>VLOOKUP(C40,'Member Details (HOF Only)'!$A$2:$U$219,4,FALSE)</f>
        <v>#N/A</v>
      </c>
      <c r="R40" s="13"/>
      <c r="S40" s="95" t="e">
        <f>VLOOKUP(C40,'Member Details (HOF Only)'!$A$2:$U$219,7,FALSE)</f>
        <v>#N/A</v>
      </c>
      <c r="T40" s="11">
        <f t="shared" si="0"/>
        <v>0</v>
      </c>
    </row>
    <row r="41" spans="1:20" x14ac:dyDescent="0.2">
      <c r="A41" s="18"/>
      <c r="B41" s="85"/>
      <c r="C41" s="19"/>
      <c r="D41" s="31"/>
      <c r="E41" s="24"/>
      <c r="F41" s="16"/>
      <c r="G41" s="16"/>
      <c r="H41" s="16"/>
      <c r="I41" s="16"/>
      <c r="J41" s="20"/>
      <c r="K41" s="25"/>
      <c r="L41" s="16"/>
      <c r="M41" s="16"/>
      <c r="N41" s="16"/>
      <c r="O41" s="16" t="str">
        <f>IF(ISNA(VLOOKUP(C41,'Auction Summary'!$P$3:$R$600,2,FALSE)),"",VLOOKUP(C41,'Auction Summary'!$P$3:$R$600,2,FALSE))</f>
        <v/>
      </c>
      <c r="P41" s="16"/>
      <c r="Q41" s="95" t="e">
        <f>VLOOKUP(C41,'Member Details (HOF Only)'!$A$2:$U$219,4,FALSE)</f>
        <v>#N/A</v>
      </c>
      <c r="R41" s="13"/>
      <c r="S41" s="95" t="e">
        <f>VLOOKUP(C41,'Member Details (HOF Only)'!$A$2:$U$219,7,FALSE)</f>
        <v>#N/A</v>
      </c>
      <c r="T41" s="11">
        <f t="shared" si="0"/>
        <v>0</v>
      </c>
    </row>
    <row r="42" spans="1:20" x14ac:dyDescent="0.2">
      <c r="A42" s="18"/>
      <c r="B42" s="85"/>
      <c r="C42" s="19"/>
      <c r="D42" s="31"/>
      <c r="E42" s="24"/>
      <c r="F42" s="16"/>
      <c r="G42" s="16"/>
      <c r="H42" s="16"/>
      <c r="I42" s="16"/>
      <c r="J42" s="20"/>
      <c r="K42" s="25"/>
      <c r="L42" s="16"/>
      <c r="M42" s="16"/>
      <c r="N42" s="16"/>
      <c r="O42" s="16" t="str">
        <f>IF(ISNA(VLOOKUP(C42,'Auction Summary'!$P$3:$R$600,2,FALSE)),"",VLOOKUP(C42,'Auction Summary'!$P$3:$R$600,2,FALSE))</f>
        <v/>
      </c>
      <c r="P42" s="16"/>
      <c r="Q42" s="95" t="e">
        <f>VLOOKUP(C42,'Member Details (HOF Only)'!$A$2:$U$219,4,FALSE)</f>
        <v>#N/A</v>
      </c>
      <c r="R42" s="13"/>
      <c r="S42" s="95" t="e">
        <f>VLOOKUP(C42,'Member Details (HOF Only)'!$A$2:$U$219,7,FALSE)</f>
        <v>#N/A</v>
      </c>
      <c r="T42" s="11">
        <f t="shared" si="0"/>
        <v>0</v>
      </c>
    </row>
    <row r="43" spans="1:20" x14ac:dyDescent="0.2">
      <c r="A43" s="18"/>
      <c r="B43" s="85"/>
      <c r="C43" s="19"/>
      <c r="D43" s="31"/>
      <c r="E43" s="24"/>
      <c r="F43" s="16"/>
      <c r="G43" s="16"/>
      <c r="H43" s="16"/>
      <c r="I43" s="16"/>
      <c r="J43" s="20"/>
      <c r="K43" s="25"/>
      <c r="L43" s="16"/>
      <c r="M43" s="16"/>
      <c r="N43" s="16"/>
      <c r="O43" s="16" t="str">
        <f>IF(ISNA(VLOOKUP(C43,'Auction Summary'!$P$3:$R$600,2,FALSE)),"",VLOOKUP(C43,'Auction Summary'!$P$3:$R$600,2,FALSE))</f>
        <v/>
      </c>
      <c r="P43" s="16"/>
      <c r="Q43" s="95" t="e">
        <f>VLOOKUP(C43,'Member Details (HOF Only)'!$A$2:$U$219,4,FALSE)</f>
        <v>#N/A</v>
      </c>
      <c r="R43" s="13"/>
      <c r="S43" s="95" t="e">
        <f>VLOOKUP(C43,'Member Details (HOF Only)'!$A$2:$U$219,7,FALSE)</f>
        <v>#N/A</v>
      </c>
      <c r="T43" s="11">
        <f t="shared" si="0"/>
        <v>0</v>
      </c>
    </row>
    <row r="44" spans="1:20" x14ac:dyDescent="0.2">
      <c r="A44" s="18"/>
      <c r="B44" s="85"/>
      <c r="C44" s="19"/>
      <c r="D44" s="31"/>
      <c r="E44" s="24"/>
      <c r="F44" s="16"/>
      <c r="G44" s="16"/>
      <c r="H44" s="16"/>
      <c r="I44" s="16"/>
      <c r="J44" s="20"/>
      <c r="K44" s="25"/>
      <c r="L44" s="16"/>
      <c r="M44" s="16"/>
      <c r="N44" s="16"/>
      <c r="O44" s="16" t="str">
        <f>IF(ISNA(VLOOKUP(C44,'Auction Summary'!$P$3:$R$600,2,FALSE)),"",VLOOKUP(C44,'Auction Summary'!$P$3:$R$600,2,FALSE))</f>
        <v/>
      </c>
      <c r="P44" s="16"/>
      <c r="Q44" s="95" t="e">
        <f>VLOOKUP(C44,'Member Details (HOF Only)'!$A$2:$U$219,4,FALSE)</f>
        <v>#N/A</v>
      </c>
      <c r="R44" s="13"/>
      <c r="S44" s="95" t="e">
        <f>VLOOKUP(C44,'Member Details (HOF Only)'!$A$2:$U$219,7,FALSE)</f>
        <v>#N/A</v>
      </c>
      <c r="T44" s="11">
        <f t="shared" si="0"/>
        <v>0</v>
      </c>
    </row>
    <row r="45" spans="1:20" x14ac:dyDescent="0.2">
      <c r="A45" s="18"/>
      <c r="B45" s="85"/>
      <c r="C45" s="19"/>
      <c r="D45" s="31"/>
      <c r="E45" s="24"/>
      <c r="F45" s="16"/>
      <c r="G45" s="16"/>
      <c r="H45" s="16"/>
      <c r="I45" s="16"/>
      <c r="J45" s="20"/>
      <c r="K45" s="25"/>
      <c r="L45" s="16"/>
      <c r="M45" s="16"/>
      <c r="N45" s="16"/>
      <c r="O45" s="16" t="str">
        <f>IF(ISNA(VLOOKUP(C45,'Auction Summary'!$P$3:$R$600,2,FALSE)),"",VLOOKUP(C45,'Auction Summary'!$P$3:$R$600,2,FALSE))</f>
        <v/>
      </c>
      <c r="P45" s="16"/>
      <c r="Q45" s="95" t="e">
        <f>VLOOKUP(C45,'Member Details (HOF Only)'!$A$2:$U$219,4,FALSE)</f>
        <v>#N/A</v>
      </c>
      <c r="R45" s="13"/>
      <c r="S45" s="95" t="e">
        <f>VLOOKUP(C45,'Member Details (HOF Only)'!$A$2:$U$219,7,FALSE)</f>
        <v>#N/A</v>
      </c>
      <c r="T45" s="11">
        <f t="shared" si="0"/>
        <v>0</v>
      </c>
    </row>
    <row r="46" spans="1:20" x14ac:dyDescent="0.2">
      <c r="A46" s="18"/>
      <c r="B46" s="85"/>
      <c r="C46" s="19"/>
      <c r="D46" s="31"/>
      <c r="E46" s="24"/>
      <c r="F46" s="16"/>
      <c r="G46" s="16"/>
      <c r="H46" s="16"/>
      <c r="I46" s="16"/>
      <c r="J46" s="20"/>
      <c r="K46" s="25"/>
      <c r="L46" s="16"/>
      <c r="M46" s="16"/>
      <c r="N46" s="16"/>
      <c r="O46" s="16" t="str">
        <f>IF(ISNA(VLOOKUP(C46,'Auction Summary'!$P$3:$R$600,2,FALSE)),"",VLOOKUP(C46,'Auction Summary'!$P$3:$R$600,2,FALSE))</f>
        <v/>
      </c>
      <c r="P46" s="16"/>
      <c r="Q46" s="95" t="e">
        <f>VLOOKUP(C46,'Member Details (HOF Only)'!$A$2:$U$219,4,FALSE)</f>
        <v>#N/A</v>
      </c>
      <c r="R46" s="13"/>
      <c r="S46" s="95" t="e">
        <f>VLOOKUP(C46,'Member Details (HOF Only)'!$A$2:$U$219,7,FALSE)</f>
        <v>#N/A</v>
      </c>
      <c r="T46" s="11">
        <f t="shared" si="0"/>
        <v>0</v>
      </c>
    </row>
    <row r="47" spans="1:20" x14ac:dyDescent="0.2">
      <c r="A47" s="18"/>
      <c r="B47" s="85"/>
      <c r="C47" s="19"/>
      <c r="D47" s="31"/>
      <c r="E47" s="24"/>
      <c r="F47" s="16"/>
      <c r="G47" s="16"/>
      <c r="H47" s="16"/>
      <c r="I47" s="16"/>
      <c r="J47" s="20"/>
      <c r="K47" s="25"/>
      <c r="L47" s="16"/>
      <c r="M47" s="16"/>
      <c r="N47" s="16"/>
      <c r="O47" s="16" t="str">
        <f>IF(ISNA(VLOOKUP(C47,'Auction Summary'!$P$3:$R$600,2,FALSE)),"",VLOOKUP(C47,'Auction Summary'!$P$3:$R$600,2,FALSE))</f>
        <v/>
      </c>
      <c r="P47" s="16"/>
      <c r="Q47" s="95" t="e">
        <f>VLOOKUP(C47,'Member Details (HOF Only)'!$A$2:$U$219,4,FALSE)</f>
        <v>#N/A</v>
      </c>
      <c r="R47" s="13"/>
      <c r="S47" s="95" t="e">
        <f>VLOOKUP(C47,'Member Details (HOF Only)'!$A$2:$U$219,7,FALSE)</f>
        <v>#N/A</v>
      </c>
      <c r="T47" s="11">
        <f t="shared" si="0"/>
        <v>0</v>
      </c>
    </row>
    <row r="48" spans="1:20" x14ac:dyDescent="0.2">
      <c r="A48" s="18"/>
      <c r="B48" s="85"/>
      <c r="C48" s="19"/>
      <c r="D48" s="31"/>
      <c r="E48" s="24"/>
      <c r="F48" s="16"/>
      <c r="G48" s="16"/>
      <c r="H48" s="16"/>
      <c r="I48" s="16"/>
      <c r="J48" s="20"/>
      <c r="K48" s="25"/>
      <c r="L48" s="16"/>
      <c r="M48" s="16"/>
      <c r="N48" s="16"/>
      <c r="O48" s="16" t="str">
        <f>IF(ISNA(VLOOKUP(C48,'Auction Summary'!$P$3:$R$600,2,FALSE)),"",VLOOKUP(C48,'Auction Summary'!$P$3:$R$600,2,FALSE))</f>
        <v/>
      </c>
      <c r="P48" s="16"/>
      <c r="Q48" s="95" t="e">
        <f>VLOOKUP(C48,'Member Details (HOF Only)'!$A$2:$U$219,4,FALSE)</f>
        <v>#N/A</v>
      </c>
      <c r="R48" s="13"/>
      <c r="S48" s="95" t="e">
        <f>VLOOKUP(C48,'Member Details (HOF Only)'!$A$2:$U$219,7,FALSE)</f>
        <v>#N/A</v>
      </c>
      <c r="T48" s="11">
        <f t="shared" si="0"/>
        <v>0</v>
      </c>
    </row>
    <row r="49" spans="1:20" x14ac:dyDescent="0.2">
      <c r="A49" s="18"/>
      <c r="B49" s="85"/>
      <c r="C49" s="19"/>
      <c r="D49" s="31"/>
      <c r="E49" s="24"/>
      <c r="F49" s="16"/>
      <c r="G49" s="16"/>
      <c r="H49" s="16"/>
      <c r="I49" s="16"/>
      <c r="J49" s="20"/>
      <c r="K49" s="25"/>
      <c r="L49" s="16"/>
      <c r="M49" s="16"/>
      <c r="N49" s="16"/>
      <c r="O49" s="16" t="str">
        <f>IF(ISNA(VLOOKUP(C49,'Auction Summary'!$P$3:$R$600,2,FALSE)),"",VLOOKUP(C49,'Auction Summary'!$P$3:$R$600,2,FALSE))</f>
        <v/>
      </c>
      <c r="P49" s="16"/>
      <c r="Q49" s="95" t="e">
        <f>VLOOKUP(C49,'Member Details (HOF Only)'!$A$2:$U$219,4,FALSE)</f>
        <v>#N/A</v>
      </c>
      <c r="R49" s="13"/>
      <c r="S49" s="95" t="e">
        <f>VLOOKUP(C49,'Member Details (HOF Only)'!$A$2:$U$219,7,FALSE)</f>
        <v>#N/A</v>
      </c>
      <c r="T49" s="11">
        <f t="shared" si="0"/>
        <v>0</v>
      </c>
    </row>
    <row r="50" spans="1:20" x14ac:dyDescent="0.2">
      <c r="A50" s="18"/>
      <c r="B50" s="85"/>
      <c r="C50" s="19"/>
      <c r="D50" s="31"/>
      <c r="E50" s="24"/>
      <c r="F50" s="16"/>
      <c r="G50" s="16"/>
      <c r="H50" s="16"/>
      <c r="I50" s="16"/>
      <c r="J50" s="20"/>
      <c r="K50" s="25"/>
      <c r="L50" s="16"/>
      <c r="M50" s="16"/>
      <c r="N50" s="16"/>
      <c r="O50" s="16" t="str">
        <f>IF(ISNA(VLOOKUP(C50,'Auction Summary'!$P$3:$R$600,2,FALSE)),"",VLOOKUP(C50,'Auction Summary'!$P$3:$R$600,2,FALSE))</f>
        <v/>
      </c>
      <c r="P50" s="16"/>
      <c r="Q50" s="95" t="e">
        <f>VLOOKUP(C50,'Member Details (HOF Only)'!$A$2:$U$219,4,FALSE)</f>
        <v>#N/A</v>
      </c>
      <c r="R50" s="13"/>
      <c r="S50" s="95" t="e">
        <f>VLOOKUP(C50,'Member Details (HOF Only)'!$A$2:$U$219,7,FALSE)</f>
        <v>#N/A</v>
      </c>
      <c r="T50" s="11">
        <f t="shared" si="0"/>
        <v>0</v>
      </c>
    </row>
    <row r="51" spans="1:20" x14ac:dyDescent="0.2">
      <c r="A51" s="18"/>
      <c r="B51" s="85"/>
      <c r="C51" s="19"/>
      <c r="D51" s="31"/>
      <c r="E51" s="24"/>
      <c r="F51" s="16"/>
      <c r="G51" s="16"/>
      <c r="H51" s="16"/>
      <c r="I51" s="16"/>
      <c r="J51" s="20"/>
      <c r="K51" s="25"/>
      <c r="L51" s="16"/>
      <c r="M51" s="16"/>
      <c r="N51" s="16"/>
      <c r="O51" s="16" t="str">
        <f>IF(ISNA(VLOOKUP(C51,'Auction Summary'!$P$3:$R$600,2,FALSE)),"",VLOOKUP(C51,'Auction Summary'!$P$3:$R$600,2,FALSE))</f>
        <v/>
      </c>
      <c r="P51" s="16"/>
      <c r="Q51" s="95" t="e">
        <f>VLOOKUP(C51,'Member Details (HOF Only)'!$A$2:$U$219,4,FALSE)</f>
        <v>#N/A</v>
      </c>
      <c r="R51" s="13"/>
      <c r="S51" s="95" t="e">
        <f>VLOOKUP(C51,'Member Details (HOF Only)'!$A$2:$U$219,7,FALSE)</f>
        <v>#N/A</v>
      </c>
      <c r="T51" s="11">
        <f t="shared" si="0"/>
        <v>0</v>
      </c>
    </row>
    <row r="52" spans="1:20" x14ac:dyDescent="0.2">
      <c r="A52" s="18"/>
      <c r="B52" s="85"/>
      <c r="C52" s="19"/>
      <c r="D52" s="31"/>
      <c r="E52" s="24"/>
      <c r="F52" s="16"/>
      <c r="G52" s="16"/>
      <c r="H52" s="16"/>
      <c r="I52" s="16"/>
      <c r="J52" s="20"/>
      <c r="K52" s="25"/>
      <c r="L52" s="16"/>
      <c r="M52" s="16"/>
      <c r="N52" s="16"/>
      <c r="O52" s="16" t="str">
        <f>IF(ISNA(VLOOKUP(C52,'Auction Summary'!$P$3:$R$600,2,FALSE)),"",VLOOKUP(C52,'Auction Summary'!$P$3:$R$600,2,FALSE))</f>
        <v/>
      </c>
      <c r="P52" s="16"/>
      <c r="Q52" s="95" t="e">
        <f>VLOOKUP(C52,'Member Details (HOF Only)'!$A$2:$U$219,4,FALSE)</f>
        <v>#N/A</v>
      </c>
      <c r="R52" s="13"/>
      <c r="S52" s="95" t="e">
        <f>VLOOKUP(C52,'Member Details (HOF Only)'!$A$2:$U$219,7,FALSE)</f>
        <v>#N/A</v>
      </c>
      <c r="T52" s="11">
        <f t="shared" si="0"/>
        <v>0</v>
      </c>
    </row>
    <row r="53" spans="1:20" x14ac:dyDescent="0.2">
      <c r="A53" s="18"/>
      <c r="B53" s="85"/>
      <c r="C53" s="19"/>
      <c r="D53" s="31"/>
      <c r="E53" s="24"/>
      <c r="F53" s="16"/>
      <c r="G53" s="16"/>
      <c r="H53" s="16"/>
      <c r="I53" s="16"/>
      <c r="J53" s="20"/>
      <c r="K53" s="25"/>
      <c r="L53" s="16"/>
      <c r="M53" s="16"/>
      <c r="N53" s="16"/>
      <c r="O53" s="16" t="str">
        <f>IF(ISNA(VLOOKUP(C53,'Auction Summary'!$P$3:$R$600,2,FALSE)),"",VLOOKUP(C53,'Auction Summary'!$P$3:$R$600,2,FALSE))</f>
        <v/>
      </c>
      <c r="P53" s="16"/>
      <c r="Q53" s="95" t="e">
        <f>VLOOKUP(C53,'Member Details (HOF Only)'!$A$2:$U$219,4,FALSE)</f>
        <v>#N/A</v>
      </c>
      <c r="R53" s="13"/>
      <c r="S53" s="95" t="e">
        <f>VLOOKUP(C53,'Member Details (HOF Only)'!$A$2:$U$219,7,FALSE)</f>
        <v>#N/A</v>
      </c>
      <c r="T53" s="11">
        <f t="shared" si="0"/>
        <v>0</v>
      </c>
    </row>
    <row r="54" spans="1:20" x14ac:dyDescent="0.2">
      <c r="A54" s="18"/>
      <c r="B54" s="85"/>
      <c r="C54" s="19"/>
      <c r="D54" s="31"/>
      <c r="E54" s="24"/>
      <c r="F54" s="16"/>
      <c r="G54" s="16"/>
      <c r="H54" s="16"/>
      <c r="I54" s="16"/>
      <c r="J54" s="20"/>
      <c r="K54" s="25"/>
      <c r="L54" s="16"/>
      <c r="M54" s="16"/>
      <c r="N54" s="16"/>
      <c r="O54" s="16" t="str">
        <f>IF(ISNA(VLOOKUP(C54,'Auction Summary'!$P$3:$R$600,2,FALSE)),"",VLOOKUP(C54,'Auction Summary'!$P$3:$R$600,2,FALSE))</f>
        <v/>
      </c>
      <c r="P54" s="16"/>
      <c r="Q54" s="95" t="e">
        <f>VLOOKUP(C54,'Member Details (HOF Only)'!$A$2:$U$219,4,FALSE)</f>
        <v>#N/A</v>
      </c>
      <c r="R54" s="13"/>
      <c r="S54" s="95" t="e">
        <f>VLOOKUP(C54,'Member Details (HOF Only)'!$A$2:$U$219,7,FALSE)</f>
        <v>#N/A</v>
      </c>
      <c r="T54" s="11">
        <f t="shared" si="0"/>
        <v>0</v>
      </c>
    </row>
    <row r="55" spans="1:20" x14ac:dyDescent="0.2">
      <c r="A55" s="18"/>
      <c r="B55" s="85"/>
      <c r="C55" s="19"/>
      <c r="D55" s="31"/>
      <c r="E55" s="24"/>
      <c r="F55" s="16"/>
      <c r="G55" s="16"/>
      <c r="H55" s="16"/>
      <c r="I55" s="16"/>
      <c r="J55" s="20"/>
      <c r="K55" s="25"/>
      <c r="L55" s="16"/>
      <c r="M55" s="16"/>
      <c r="N55" s="16"/>
      <c r="O55" s="16" t="str">
        <f>IF(ISNA(VLOOKUP(C55,'Auction Summary'!$P$3:$R$600,2,FALSE)),"",VLOOKUP(C55,'Auction Summary'!$P$3:$R$600,2,FALSE))</f>
        <v/>
      </c>
      <c r="P55" s="16"/>
      <c r="Q55" s="95" t="e">
        <f>VLOOKUP(C55,'Member Details (HOF Only)'!$A$2:$U$219,4,FALSE)</f>
        <v>#N/A</v>
      </c>
      <c r="R55" s="13"/>
      <c r="S55" s="95" t="e">
        <f>VLOOKUP(C55,'Member Details (HOF Only)'!$A$2:$U$219,7,FALSE)</f>
        <v>#N/A</v>
      </c>
      <c r="T55" s="11">
        <f t="shared" si="0"/>
        <v>0</v>
      </c>
    </row>
    <row r="56" spans="1:20" x14ac:dyDescent="0.2">
      <c r="A56" s="18"/>
      <c r="B56" s="85"/>
      <c r="C56" s="19"/>
      <c r="D56" s="31"/>
      <c r="E56" s="24"/>
      <c r="F56" s="16"/>
      <c r="G56" s="16"/>
      <c r="H56" s="16"/>
      <c r="I56" s="16"/>
      <c r="J56" s="20"/>
      <c r="K56" s="25"/>
      <c r="L56" s="16"/>
      <c r="M56" s="16"/>
      <c r="N56" s="16"/>
      <c r="O56" s="16" t="str">
        <f>IF(ISNA(VLOOKUP(C56,'Auction Summary'!$P$3:$R$600,2,FALSE)),"",VLOOKUP(C56,'Auction Summary'!$P$3:$R$600,2,FALSE))</f>
        <v/>
      </c>
      <c r="P56" s="16"/>
      <c r="Q56" s="95" t="e">
        <f>VLOOKUP(C56,'Member Details (HOF Only)'!$A$2:$U$219,4,FALSE)</f>
        <v>#N/A</v>
      </c>
      <c r="R56" s="13"/>
      <c r="S56" s="95" t="e">
        <f>VLOOKUP(C56,'Member Details (HOF Only)'!$A$2:$U$219,7,FALSE)</f>
        <v>#N/A</v>
      </c>
      <c r="T56" s="11">
        <f t="shared" si="0"/>
        <v>0</v>
      </c>
    </row>
    <row r="57" spans="1:20" x14ac:dyDescent="0.2">
      <c r="A57" s="18"/>
      <c r="B57" s="85"/>
      <c r="C57" s="19"/>
      <c r="D57" s="31"/>
      <c r="E57" s="24"/>
      <c r="F57" s="16"/>
      <c r="G57" s="16"/>
      <c r="H57" s="16"/>
      <c r="I57" s="16"/>
      <c r="J57" s="20"/>
      <c r="K57" s="25"/>
      <c r="L57" s="16"/>
      <c r="M57" s="16"/>
      <c r="N57" s="16"/>
      <c r="O57" s="16" t="str">
        <f>IF(ISNA(VLOOKUP(C57,'Auction Summary'!$P$3:$R$600,2,FALSE)),"",VLOOKUP(C57,'Auction Summary'!$P$3:$R$600,2,FALSE))</f>
        <v/>
      </c>
      <c r="P57" s="16"/>
      <c r="Q57" s="95" t="e">
        <f>VLOOKUP(C57,'Member Details (HOF Only)'!$A$2:$U$219,4,FALSE)</f>
        <v>#N/A</v>
      </c>
      <c r="R57" s="13"/>
      <c r="S57" s="95" t="e">
        <f>VLOOKUP(C57,'Member Details (HOF Only)'!$A$2:$U$219,7,FALSE)</f>
        <v>#N/A</v>
      </c>
      <c r="T57" s="11">
        <f t="shared" si="0"/>
        <v>0</v>
      </c>
    </row>
    <row r="58" spans="1:20" x14ac:dyDescent="0.2">
      <c r="A58" s="18"/>
      <c r="B58" s="85"/>
      <c r="C58" s="19"/>
      <c r="D58" s="31"/>
      <c r="E58" s="24"/>
      <c r="F58" s="16"/>
      <c r="G58" s="16"/>
      <c r="H58" s="16"/>
      <c r="I58" s="16"/>
      <c r="J58" s="20"/>
      <c r="K58" s="25"/>
      <c r="L58" s="16"/>
      <c r="M58" s="16"/>
      <c r="N58" s="16"/>
      <c r="O58" s="16" t="str">
        <f>IF(ISNA(VLOOKUP(C58,'Auction Summary'!$P$3:$R$600,2,FALSE)),"",VLOOKUP(C58,'Auction Summary'!$P$3:$R$600,2,FALSE))</f>
        <v/>
      </c>
      <c r="P58" s="16"/>
      <c r="Q58" s="95" t="e">
        <f>VLOOKUP(C58,'Member Details (HOF Only)'!$A$2:$U$219,4,FALSE)</f>
        <v>#N/A</v>
      </c>
      <c r="R58" s="13"/>
      <c r="S58" s="95" t="e">
        <f>VLOOKUP(C58,'Member Details (HOF Only)'!$A$2:$U$219,7,FALSE)</f>
        <v>#N/A</v>
      </c>
      <c r="T58" s="11">
        <f t="shared" si="0"/>
        <v>0</v>
      </c>
    </row>
    <row r="59" spans="1:20" x14ac:dyDescent="0.2">
      <c r="A59" s="18"/>
      <c r="B59" s="85"/>
      <c r="C59" s="19"/>
      <c r="D59" s="31"/>
      <c r="E59" s="24"/>
      <c r="F59" s="16"/>
      <c r="G59" s="16"/>
      <c r="H59" s="16"/>
      <c r="I59" s="16"/>
      <c r="J59" s="20"/>
      <c r="K59" s="25"/>
      <c r="L59" s="16"/>
      <c r="M59" s="16"/>
      <c r="N59" s="16"/>
      <c r="O59" s="16" t="str">
        <f>IF(ISNA(VLOOKUP(C59,'Auction Summary'!$P$3:$R$600,2,FALSE)),"",VLOOKUP(C59,'Auction Summary'!$P$3:$R$600,2,FALSE))</f>
        <v/>
      </c>
      <c r="P59" s="16"/>
      <c r="Q59" s="95" t="e">
        <f>VLOOKUP(C59,'Member Details (HOF Only)'!$A$2:$U$219,4,FALSE)</f>
        <v>#N/A</v>
      </c>
      <c r="R59" s="13"/>
      <c r="S59" s="95" t="e">
        <f>VLOOKUP(C59,'Member Details (HOF Only)'!$A$2:$U$219,7,FALSE)</f>
        <v>#N/A</v>
      </c>
      <c r="T59" s="11">
        <f t="shared" si="0"/>
        <v>0</v>
      </c>
    </row>
    <row r="60" spans="1:20" x14ac:dyDescent="0.2">
      <c r="A60" s="18"/>
      <c r="B60" s="85"/>
      <c r="C60" s="19"/>
      <c r="D60" s="31"/>
      <c r="E60" s="24"/>
      <c r="F60" s="16"/>
      <c r="G60" s="16"/>
      <c r="H60" s="16"/>
      <c r="I60" s="16"/>
      <c r="J60" s="20"/>
      <c r="K60" s="25"/>
      <c r="L60" s="16"/>
      <c r="M60" s="16"/>
      <c r="N60" s="16"/>
      <c r="O60" s="16" t="str">
        <f>IF(ISNA(VLOOKUP(C60,'Auction Summary'!$P$3:$R$600,2,FALSE)),"",VLOOKUP(C60,'Auction Summary'!$P$3:$R$600,2,FALSE))</f>
        <v/>
      </c>
      <c r="P60" s="16"/>
      <c r="Q60" s="95" t="e">
        <f>VLOOKUP(C60,'Member Details (HOF Only)'!$A$2:$U$219,4,FALSE)</f>
        <v>#N/A</v>
      </c>
      <c r="R60" s="13"/>
      <c r="S60" s="95" t="e">
        <f>VLOOKUP(C60,'Member Details (HOF Only)'!$A$2:$U$219,7,FALSE)</f>
        <v>#N/A</v>
      </c>
      <c r="T60" s="11">
        <f t="shared" si="0"/>
        <v>0</v>
      </c>
    </row>
    <row r="61" spans="1:20" x14ac:dyDescent="0.2">
      <c r="A61" s="18"/>
      <c r="B61" s="85"/>
      <c r="C61" s="19"/>
      <c r="D61" s="31"/>
      <c r="E61" s="24"/>
      <c r="F61" s="16"/>
      <c r="G61" s="16"/>
      <c r="H61" s="16"/>
      <c r="I61" s="16"/>
      <c r="J61" s="20"/>
      <c r="K61" s="25"/>
      <c r="L61" s="16"/>
      <c r="M61" s="16"/>
      <c r="N61" s="16"/>
      <c r="O61" s="16" t="str">
        <f>IF(ISNA(VLOOKUP(C61,'Auction Summary'!$P$3:$R$600,2,FALSE)),"",VLOOKUP(C61,'Auction Summary'!$P$3:$R$600,2,FALSE))</f>
        <v/>
      </c>
      <c r="P61" s="16"/>
      <c r="Q61" s="95" t="e">
        <f>VLOOKUP(C61,'Member Details (HOF Only)'!$A$2:$U$219,4,FALSE)</f>
        <v>#N/A</v>
      </c>
      <c r="R61" s="13"/>
      <c r="S61" s="95" t="e">
        <f>VLOOKUP(C61,'Member Details (HOF Only)'!$A$2:$U$219,7,FALSE)</f>
        <v>#N/A</v>
      </c>
      <c r="T61" s="11">
        <f t="shared" si="0"/>
        <v>0</v>
      </c>
    </row>
    <row r="62" spans="1:20" x14ac:dyDescent="0.2">
      <c r="A62" s="18"/>
      <c r="B62" s="85"/>
      <c r="C62" s="19"/>
      <c r="D62" s="31"/>
      <c r="E62" s="24"/>
      <c r="F62" s="16"/>
      <c r="G62" s="16"/>
      <c r="H62" s="16"/>
      <c r="I62" s="16"/>
      <c r="J62" s="20"/>
      <c r="K62" s="25"/>
      <c r="L62" s="16"/>
      <c r="M62" s="16"/>
      <c r="N62" s="16"/>
      <c r="O62" s="16" t="str">
        <f>IF(ISNA(VLOOKUP(C62,'Auction Summary'!$P$3:$R$600,2,FALSE)),"",VLOOKUP(C62,'Auction Summary'!$P$3:$R$600,2,FALSE))</f>
        <v/>
      </c>
      <c r="P62" s="16"/>
      <c r="Q62" s="95" t="e">
        <f>VLOOKUP(C62,'Member Details (HOF Only)'!$A$2:$U$219,4,FALSE)</f>
        <v>#N/A</v>
      </c>
      <c r="R62" s="13"/>
      <c r="S62" s="95" t="e">
        <f>VLOOKUP(C62,'Member Details (HOF Only)'!$A$2:$U$219,7,FALSE)</f>
        <v>#N/A</v>
      </c>
      <c r="T62" s="11">
        <f t="shared" si="0"/>
        <v>0</v>
      </c>
    </row>
    <row r="63" spans="1:20" x14ac:dyDescent="0.2">
      <c r="A63" s="18"/>
      <c r="B63" s="85"/>
      <c r="C63" s="19"/>
      <c r="D63" s="31"/>
      <c r="E63" s="24"/>
      <c r="F63" s="16"/>
      <c r="G63" s="16"/>
      <c r="H63" s="16"/>
      <c r="I63" s="16"/>
      <c r="J63" s="20"/>
      <c r="K63" s="25"/>
      <c r="L63" s="16"/>
      <c r="M63" s="16"/>
      <c r="N63" s="16"/>
      <c r="O63" s="16" t="str">
        <f>IF(ISNA(VLOOKUP(C63,'Auction Summary'!$P$3:$R$600,2,FALSE)),"",VLOOKUP(C63,'Auction Summary'!$P$3:$R$600,2,FALSE))</f>
        <v/>
      </c>
      <c r="P63" s="16"/>
      <c r="Q63" s="95" t="e">
        <f>VLOOKUP(C63,'Member Details (HOF Only)'!$A$2:$U$219,4,FALSE)</f>
        <v>#N/A</v>
      </c>
      <c r="R63" s="13"/>
      <c r="S63" s="95" t="e">
        <f>VLOOKUP(C63,'Member Details (HOF Only)'!$A$2:$U$219,7,FALSE)</f>
        <v>#N/A</v>
      </c>
      <c r="T63" s="11">
        <f t="shared" si="0"/>
        <v>0</v>
      </c>
    </row>
    <row r="64" spans="1:20" x14ac:dyDescent="0.2">
      <c r="A64" s="18"/>
      <c r="B64" s="85"/>
      <c r="C64" s="19"/>
      <c r="D64" s="31"/>
      <c r="E64" s="24"/>
      <c r="F64" s="16"/>
      <c r="G64" s="16"/>
      <c r="H64" s="16"/>
      <c r="I64" s="16"/>
      <c r="J64" s="20"/>
      <c r="K64" s="25"/>
      <c r="L64" s="16"/>
      <c r="M64" s="16"/>
      <c r="N64" s="16"/>
      <c r="O64" s="16" t="str">
        <f>IF(ISNA(VLOOKUP(C64,'Auction Summary'!$P$3:$R$600,2,FALSE)),"",VLOOKUP(C64,'Auction Summary'!$P$3:$R$600,2,FALSE))</f>
        <v/>
      </c>
      <c r="P64" s="16"/>
      <c r="Q64" s="95" t="e">
        <f>VLOOKUP(C64,'Member Details (HOF Only)'!$A$2:$U$219,4,FALSE)</f>
        <v>#N/A</v>
      </c>
      <c r="R64" s="13"/>
      <c r="S64" s="95" t="e">
        <f>VLOOKUP(C64,'Member Details (HOF Only)'!$A$2:$U$219,7,FALSE)</f>
        <v>#N/A</v>
      </c>
      <c r="T64" s="11">
        <f t="shared" si="0"/>
        <v>0</v>
      </c>
    </row>
    <row r="65" spans="1:20" x14ac:dyDescent="0.2">
      <c r="A65" s="18"/>
      <c r="B65" s="85"/>
      <c r="C65" s="19"/>
      <c r="D65" s="31"/>
      <c r="E65" s="24"/>
      <c r="F65" s="16"/>
      <c r="G65" s="16"/>
      <c r="H65" s="16"/>
      <c r="I65" s="16"/>
      <c r="J65" s="20"/>
      <c r="K65" s="25"/>
      <c r="L65" s="16"/>
      <c r="M65" s="16"/>
      <c r="N65" s="16"/>
      <c r="O65" s="16" t="str">
        <f>IF(ISNA(VLOOKUP(C65,'Auction Summary'!$P$3:$R$600,2,FALSE)),"",VLOOKUP(C65,'Auction Summary'!$P$3:$R$600,2,FALSE))</f>
        <v/>
      </c>
      <c r="P65" s="16"/>
      <c r="Q65" s="95" t="e">
        <f>VLOOKUP(C65,'Member Details (HOF Only)'!$A$2:$U$219,4,FALSE)</f>
        <v>#N/A</v>
      </c>
      <c r="R65" s="13"/>
      <c r="S65" s="95" t="e">
        <f>VLOOKUP(C65,'Member Details (HOF Only)'!$A$2:$U$219,7,FALSE)</f>
        <v>#N/A</v>
      </c>
      <c r="T65" s="11">
        <f t="shared" si="0"/>
        <v>0</v>
      </c>
    </row>
    <row r="66" spans="1:20" x14ac:dyDescent="0.2">
      <c r="A66" s="18"/>
      <c r="B66" s="85"/>
      <c r="C66" s="19"/>
      <c r="D66" s="31"/>
      <c r="E66" s="24"/>
      <c r="F66" s="16"/>
      <c r="G66" s="16"/>
      <c r="H66" s="16"/>
      <c r="I66" s="16"/>
      <c r="J66" s="20"/>
      <c r="K66" s="25"/>
      <c r="L66" s="16"/>
      <c r="M66" s="16"/>
      <c r="N66" s="16"/>
      <c r="O66" s="16" t="str">
        <f>IF(ISNA(VLOOKUP(C66,'Auction Summary'!$P$3:$R$600,2,FALSE)),"",VLOOKUP(C66,'Auction Summary'!$P$3:$R$600,2,FALSE))</f>
        <v/>
      </c>
      <c r="P66" s="16"/>
      <c r="Q66" s="95" t="e">
        <f>VLOOKUP(C66,'Member Details (HOF Only)'!$A$2:$U$219,4,FALSE)</f>
        <v>#N/A</v>
      </c>
      <c r="R66" s="13"/>
      <c r="S66" s="95" t="e">
        <f>VLOOKUP(C66,'Member Details (HOF Only)'!$A$2:$U$219,7,FALSE)</f>
        <v>#N/A</v>
      </c>
      <c r="T66" s="11">
        <f t="shared" si="0"/>
        <v>0</v>
      </c>
    </row>
    <row r="67" spans="1:20" x14ac:dyDescent="0.2">
      <c r="A67" s="18"/>
      <c r="B67" s="85"/>
      <c r="C67" s="19"/>
      <c r="D67" s="31"/>
      <c r="E67" s="24"/>
      <c r="F67" s="16"/>
      <c r="G67" s="16"/>
      <c r="H67" s="16"/>
      <c r="I67" s="16"/>
      <c r="J67" s="20"/>
      <c r="K67" s="25"/>
      <c r="L67" s="16"/>
      <c r="M67" s="16"/>
      <c r="N67" s="16"/>
      <c r="O67" s="16" t="str">
        <f>IF(ISNA(VLOOKUP(C67,'Auction Summary'!$P$3:$R$600,2,FALSE)),"",VLOOKUP(C67,'Auction Summary'!$P$3:$R$600,2,FALSE))</f>
        <v/>
      </c>
      <c r="P67" s="16"/>
      <c r="Q67" s="95" t="e">
        <f>VLOOKUP(C67,'Member Details (HOF Only)'!$A$2:$U$219,4,FALSE)</f>
        <v>#N/A</v>
      </c>
      <c r="R67" s="13"/>
      <c r="S67" s="95" t="e">
        <f>VLOOKUP(C67,'Member Details (HOF Only)'!$A$2:$U$219,7,FALSE)</f>
        <v>#N/A</v>
      </c>
      <c r="T67" s="11">
        <f t="shared" ref="T67:T130" si="1">T66+D67</f>
        <v>0</v>
      </c>
    </row>
    <row r="68" spans="1:20" x14ac:dyDescent="0.2">
      <c r="A68" s="18"/>
      <c r="B68" s="85"/>
      <c r="C68" s="19"/>
      <c r="D68" s="31"/>
      <c r="E68" s="24"/>
      <c r="F68" s="16"/>
      <c r="G68" s="16"/>
      <c r="H68" s="16"/>
      <c r="I68" s="16"/>
      <c r="J68" s="20"/>
      <c r="K68" s="25"/>
      <c r="L68" s="16"/>
      <c r="M68" s="16"/>
      <c r="N68" s="16"/>
      <c r="O68" s="16" t="str">
        <f>IF(ISNA(VLOOKUP(C68,'Auction Summary'!$P$3:$R$600,2,FALSE)),"",VLOOKUP(C68,'Auction Summary'!$P$3:$R$600,2,FALSE))</f>
        <v/>
      </c>
      <c r="P68" s="16"/>
      <c r="Q68" s="95" t="e">
        <f>VLOOKUP(C68,'Member Details (HOF Only)'!$A$2:$U$219,4,FALSE)</f>
        <v>#N/A</v>
      </c>
      <c r="R68" s="13"/>
      <c r="S68" s="95" t="e">
        <f>VLOOKUP(C68,'Member Details (HOF Only)'!$A$2:$U$219,7,FALSE)</f>
        <v>#N/A</v>
      </c>
      <c r="T68" s="11">
        <f t="shared" si="1"/>
        <v>0</v>
      </c>
    </row>
    <row r="69" spans="1:20" x14ac:dyDescent="0.2">
      <c r="A69" s="18"/>
      <c r="B69" s="85"/>
      <c r="C69" s="19"/>
      <c r="D69" s="31"/>
      <c r="E69" s="24"/>
      <c r="F69" s="16"/>
      <c r="G69" s="16"/>
      <c r="H69" s="16"/>
      <c r="I69" s="16"/>
      <c r="J69" s="20"/>
      <c r="K69" s="25"/>
      <c r="L69" s="16"/>
      <c r="M69" s="16"/>
      <c r="N69" s="16"/>
      <c r="O69" s="16" t="str">
        <f>IF(ISNA(VLOOKUP(C69,'Auction Summary'!$P$3:$R$600,2,FALSE)),"",VLOOKUP(C69,'Auction Summary'!$P$3:$R$600,2,FALSE))</f>
        <v/>
      </c>
      <c r="P69" s="16"/>
      <c r="Q69" s="95" t="e">
        <f>VLOOKUP(C69,'Member Details (HOF Only)'!$A$2:$U$219,4,FALSE)</f>
        <v>#N/A</v>
      </c>
      <c r="R69" s="13"/>
      <c r="S69" s="95" t="e">
        <f>VLOOKUP(C69,'Member Details (HOF Only)'!$A$2:$U$219,7,FALSE)</f>
        <v>#N/A</v>
      </c>
      <c r="T69" s="11">
        <f t="shared" si="1"/>
        <v>0</v>
      </c>
    </row>
    <row r="70" spans="1:20" x14ac:dyDescent="0.2">
      <c r="A70" s="18"/>
      <c r="B70" s="85"/>
      <c r="C70" s="19"/>
      <c r="D70" s="31"/>
      <c r="E70" s="24"/>
      <c r="F70" s="16"/>
      <c r="G70" s="16"/>
      <c r="H70" s="16"/>
      <c r="I70" s="16"/>
      <c r="J70" s="20"/>
      <c r="K70" s="25"/>
      <c r="L70" s="16"/>
      <c r="M70" s="16"/>
      <c r="N70" s="16"/>
      <c r="O70" s="16" t="str">
        <f>IF(ISNA(VLOOKUP(C70,'Auction Summary'!$P$3:$R$600,2,FALSE)),"",VLOOKUP(C70,'Auction Summary'!$P$3:$R$600,2,FALSE))</f>
        <v/>
      </c>
      <c r="P70" s="16"/>
      <c r="Q70" s="95" t="e">
        <f>VLOOKUP(C70,'Member Details (HOF Only)'!$A$2:$U$219,4,FALSE)</f>
        <v>#N/A</v>
      </c>
      <c r="R70" s="13"/>
      <c r="S70" s="95" t="e">
        <f>VLOOKUP(C70,'Member Details (HOF Only)'!$A$2:$U$219,7,FALSE)</f>
        <v>#N/A</v>
      </c>
      <c r="T70" s="11">
        <f t="shared" si="1"/>
        <v>0</v>
      </c>
    </row>
    <row r="71" spans="1:20" x14ac:dyDescent="0.2">
      <c r="A71" s="18"/>
      <c r="B71" s="85"/>
      <c r="C71" s="19"/>
      <c r="D71" s="31"/>
      <c r="E71" s="24"/>
      <c r="F71" s="16"/>
      <c r="G71" s="16"/>
      <c r="H71" s="16"/>
      <c r="I71" s="16"/>
      <c r="J71" s="20"/>
      <c r="K71" s="25"/>
      <c r="L71" s="16"/>
      <c r="M71" s="16"/>
      <c r="N71" s="16"/>
      <c r="O71" s="16" t="str">
        <f>IF(ISNA(VLOOKUP(C71,'Auction Summary'!$P$3:$R$600,2,FALSE)),"",VLOOKUP(C71,'Auction Summary'!$P$3:$R$600,2,FALSE))</f>
        <v/>
      </c>
      <c r="P71" s="16"/>
      <c r="Q71" s="95" t="e">
        <f>VLOOKUP(C71,'Member Details (HOF Only)'!$A$2:$U$219,4,FALSE)</f>
        <v>#N/A</v>
      </c>
      <c r="R71" s="13"/>
      <c r="S71" s="95" t="e">
        <f>VLOOKUP(C71,'Member Details (HOF Only)'!$A$2:$U$219,7,FALSE)</f>
        <v>#N/A</v>
      </c>
      <c r="T71" s="11">
        <f t="shared" si="1"/>
        <v>0</v>
      </c>
    </row>
    <row r="72" spans="1:20" x14ac:dyDescent="0.2">
      <c r="A72" s="18"/>
      <c r="B72" s="85"/>
      <c r="C72" s="19"/>
      <c r="D72" s="31"/>
      <c r="E72" s="24"/>
      <c r="F72" s="16"/>
      <c r="G72" s="16"/>
      <c r="H72" s="16"/>
      <c r="I72" s="16"/>
      <c r="J72" s="20"/>
      <c r="K72" s="25"/>
      <c r="L72" s="16"/>
      <c r="M72" s="16"/>
      <c r="N72" s="16"/>
      <c r="O72" s="16" t="str">
        <f>IF(ISNA(VLOOKUP(C72,'Auction Summary'!$P$3:$R$600,2,FALSE)),"",VLOOKUP(C72,'Auction Summary'!$P$3:$R$600,2,FALSE))</f>
        <v/>
      </c>
      <c r="P72" s="16"/>
      <c r="Q72" s="95" t="e">
        <f>VLOOKUP(C72,'Member Details (HOF Only)'!$A$2:$U$219,4,FALSE)</f>
        <v>#N/A</v>
      </c>
      <c r="R72" s="13"/>
      <c r="S72" s="95" t="e">
        <f>VLOOKUP(C72,'Member Details (HOF Only)'!$A$2:$U$219,7,FALSE)</f>
        <v>#N/A</v>
      </c>
      <c r="T72" s="11">
        <f t="shared" si="1"/>
        <v>0</v>
      </c>
    </row>
    <row r="73" spans="1:20" x14ac:dyDescent="0.2">
      <c r="A73" s="18"/>
      <c r="B73" s="85"/>
      <c r="C73" s="19"/>
      <c r="D73" s="31"/>
      <c r="E73" s="24"/>
      <c r="F73" s="16"/>
      <c r="G73" s="16"/>
      <c r="H73" s="16"/>
      <c r="I73" s="16"/>
      <c r="J73" s="20"/>
      <c r="K73" s="25"/>
      <c r="L73" s="16"/>
      <c r="M73" s="16"/>
      <c r="N73" s="16"/>
      <c r="O73" s="16" t="str">
        <f>IF(ISNA(VLOOKUP(C73,'Auction Summary'!$P$3:$R$600,2,FALSE)),"",VLOOKUP(C73,'Auction Summary'!$P$3:$R$600,2,FALSE))</f>
        <v/>
      </c>
      <c r="P73" s="16"/>
      <c r="Q73" s="95" t="e">
        <f>VLOOKUP(C73,'Member Details (HOF Only)'!$A$2:$U$219,4,FALSE)</f>
        <v>#N/A</v>
      </c>
      <c r="R73" s="13"/>
      <c r="S73" s="95" t="e">
        <f>VLOOKUP(C73,'Member Details (HOF Only)'!$A$2:$U$219,7,FALSE)</f>
        <v>#N/A</v>
      </c>
      <c r="T73" s="11">
        <f t="shared" si="1"/>
        <v>0</v>
      </c>
    </row>
    <row r="74" spans="1:20" x14ac:dyDescent="0.2">
      <c r="A74" s="18"/>
      <c r="B74" s="85"/>
      <c r="C74" s="19"/>
      <c r="D74" s="31"/>
      <c r="E74" s="24"/>
      <c r="F74" s="16"/>
      <c r="G74" s="16"/>
      <c r="H74" s="16"/>
      <c r="I74" s="16"/>
      <c r="J74" s="20"/>
      <c r="K74" s="25"/>
      <c r="L74" s="16"/>
      <c r="M74" s="16"/>
      <c r="N74" s="16"/>
      <c r="O74" s="16" t="str">
        <f>IF(ISNA(VLOOKUP(C74,'Auction Summary'!$P$3:$R$600,2,FALSE)),"",VLOOKUP(C74,'Auction Summary'!$P$3:$R$600,2,FALSE))</f>
        <v/>
      </c>
      <c r="P74" s="16"/>
      <c r="Q74" s="95" t="e">
        <f>VLOOKUP(C74,'Member Details (HOF Only)'!$A$2:$U$219,4,FALSE)</f>
        <v>#N/A</v>
      </c>
      <c r="R74" s="13"/>
      <c r="S74" s="95" t="e">
        <f>VLOOKUP(C74,'Member Details (HOF Only)'!$A$2:$U$219,7,FALSE)</f>
        <v>#N/A</v>
      </c>
      <c r="T74" s="11">
        <f t="shared" si="1"/>
        <v>0</v>
      </c>
    </row>
    <row r="75" spans="1:20" x14ac:dyDescent="0.2">
      <c r="A75" s="18"/>
      <c r="B75" s="85"/>
      <c r="C75" s="19"/>
      <c r="D75" s="31"/>
      <c r="E75" s="24"/>
      <c r="F75" s="16"/>
      <c r="G75" s="16"/>
      <c r="H75" s="16"/>
      <c r="I75" s="16"/>
      <c r="J75" s="20"/>
      <c r="K75" s="25"/>
      <c r="L75" s="16"/>
      <c r="M75" s="16"/>
      <c r="N75" s="16"/>
      <c r="O75" s="16" t="str">
        <f>IF(ISNA(VLOOKUP(C75,'Auction Summary'!$P$3:$R$600,2,FALSE)),"",VLOOKUP(C75,'Auction Summary'!$P$3:$R$600,2,FALSE))</f>
        <v/>
      </c>
      <c r="P75" s="16"/>
      <c r="Q75" s="95" t="e">
        <f>VLOOKUP(C75,'Member Details (HOF Only)'!$A$2:$U$219,4,FALSE)</f>
        <v>#N/A</v>
      </c>
      <c r="R75" s="13"/>
      <c r="S75" s="95" t="e">
        <f>VLOOKUP(C75,'Member Details (HOF Only)'!$A$2:$U$219,7,FALSE)</f>
        <v>#N/A</v>
      </c>
      <c r="T75" s="11">
        <f t="shared" si="1"/>
        <v>0</v>
      </c>
    </row>
    <row r="76" spans="1:20" x14ac:dyDescent="0.2">
      <c r="A76" s="18"/>
      <c r="B76" s="85"/>
      <c r="C76" s="19"/>
      <c r="D76" s="31"/>
      <c r="E76" s="24"/>
      <c r="F76" s="16"/>
      <c r="G76" s="16"/>
      <c r="H76" s="16"/>
      <c r="I76" s="16"/>
      <c r="J76" s="20"/>
      <c r="K76" s="25"/>
      <c r="L76" s="16"/>
      <c r="M76" s="16"/>
      <c r="N76" s="16"/>
      <c r="O76" s="16" t="str">
        <f>IF(ISNA(VLOOKUP(C76,'Auction Summary'!$P$3:$R$600,2,FALSE)),"",VLOOKUP(C76,'Auction Summary'!$P$3:$R$600,2,FALSE))</f>
        <v/>
      </c>
      <c r="P76" s="16"/>
      <c r="Q76" s="95" t="e">
        <f>VLOOKUP(C76,'Member Details (HOF Only)'!$A$2:$U$219,4,FALSE)</f>
        <v>#N/A</v>
      </c>
      <c r="R76" s="13"/>
      <c r="S76" s="95" t="e">
        <f>VLOOKUP(C76,'Member Details (HOF Only)'!$A$2:$U$219,7,FALSE)</f>
        <v>#N/A</v>
      </c>
      <c r="T76" s="11">
        <f t="shared" si="1"/>
        <v>0</v>
      </c>
    </row>
    <row r="77" spans="1:20" x14ac:dyDescent="0.2">
      <c r="A77" s="18"/>
      <c r="B77" s="85"/>
      <c r="C77" s="19"/>
      <c r="D77" s="31"/>
      <c r="E77" s="24"/>
      <c r="F77" s="16"/>
      <c r="G77" s="16"/>
      <c r="H77" s="16"/>
      <c r="I77" s="16"/>
      <c r="J77" s="20"/>
      <c r="K77" s="25"/>
      <c r="L77" s="16"/>
      <c r="M77" s="16"/>
      <c r="N77" s="16"/>
      <c r="O77" s="16" t="str">
        <f>IF(ISNA(VLOOKUP(C77,'Auction Summary'!$P$3:$R$600,2,FALSE)),"",VLOOKUP(C77,'Auction Summary'!$P$3:$R$600,2,FALSE))</f>
        <v/>
      </c>
      <c r="P77" s="16"/>
      <c r="Q77" s="95" t="e">
        <f>VLOOKUP(C77,'Member Details (HOF Only)'!$A$2:$U$219,4,FALSE)</f>
        <v>#N/A</v>
      </c>
      <c r="R77" s="13"/>
      <c r="S77" s="95" t="e">
        <f>VLOOKUP(C77,'Member Details (HOF Only)'!$A$2:$U$219,7,FALSE)</f>
        <v>#N/A</v>
      </c>
      <c r="T77" s="11">
        <f t="shared" si="1"/>
        <v>0</v>
      </c>
    </row>
    <row r="78" spans="1:20" x14ac:dyDescent="0.2">
      <c r="A78" s="18"/>
      <c r="B78" s="85"/>
      <c r="C78" s="19"/>
      <c r="D78" s="31"/>
      <c r="E78" s="24"/>
      <c r="F78" s="16"/>
      <c r="G78" s="16"/>
      <c r="H78" s="16"/>
      <c r="I78" s="16"/>
      <c r="J78" s="20"/>
      <c r="K78" s="25"/>
      <c r="L78" s="16"/>
      <c r="M78" s="16"/>
      <c r="N78" s="16"/>
      <c r="O78" s="16" t="str">
        <f>IF(ISNA(VLOOKUP(C78,'Auction Summary'!$P$3:$R$600,2,FALSE)),"",VLOOKUP(C78,'Auction Summary'!$P$3:$R$600,2,FALSE))</f>
        <v/>
      </c>
      <c r="P78" s="16"/>
      <c r="Q78" s="95" t="e">
        <f>VLOOKUP(C78,'Member Details (HOF Only)'!$A$2:$U$219,4,FALSE)</f>
        <v>#N/A</v>
      </c>
      <c r="R78" s="13"/>
      <c r="S78" s="95" t="e">
        <f>VLOOKUP(C78,'Member Details (HOF Only)'!$A$2:$U$219,7,FALSE)</f>
        <v>#N/A</v>
      </c>
      <c r="T78" s="11">
        <f t="shared" si="1"/>
        <v>0</v>
      </c>
    </row>
    <row r="79" spans="1:20" x14ac:dyDescent="0.2">
      <c r="A79" s="18"/>
      <c r="B79" s="85"/>
      <c r="C79" s="19"/>
      <c r="D79" s="31"/>
      <c r="E79" s="24"/>
      <c r="F79" s="16"/>
      <c r="G79" s="16"/>
      <c r="H79" s="16"/>
      <c r="I79" s="16"/>
      <c r="J79" s="20"/>
      <c r="K79" s="25"/>
      <c r="L79" s="16"/>
      <c r="M79" s="16"/>
      <c r="N79" s="16"/>
      <c r="O79" s="16" t="str">
        <f>IF(ISNA(VLOOKUP(C79,'Auction Summary'!$P$3:$R$600,2,FALSE)),"",VLOOKUP(C79,'Auction Summary'!$P$3:$R$600,2,FALSE))</f>
        <v/>
      </c>
      <c r="P79" s="16"/>
      <c r="Q79" s="95" t="e">
        <f>VLOOKUP(C79,'Member Details (HOF Only)'!$A$2:$U$219,4,FALSE)</f>
        <v>#N/A</v>
      </c>
      <c r="R79" s="13"/>
      <c r="S79" s="95" t="e">
        <f>VLOOKUP(C79,'Member Details (HOF Only)'!$A$2:$U$219,7,FALSE)</f>
        <v>#N/A</v>
      </c>
      <c r="T79" s="11">
        <f t="shared" si="1"/>
        <v>0</v>
      </c>
    </row>
    <row r="80" spans="1:20" x14ac:dyDescent="0.2">
      <c r="A80" s="18"/>
      <c r="B80" s="85"/>
      <c r="C80" s="19"/>
      <c r="D80" s="31"/>
      <c r="E80" s="24"/>
      <c r="F80" s="16"/>
      <c r="G80" s="16"/>
      <c r="H80" s="16"/>
      <c r="I80" s="16"/>
      <c r="J80" s="20"/>
      <c r="K80" s="25"/>
      <c r="L80" s="16"/>
      <c r="M80" s="16"/>
      <c r="N80" s="16"/>
      <c r="O80" s="16" t="str">
        <f>IF(ISNA(VLOOKUP(C80,'Auction Summary'!$P$3:$R$600,2,FALSE)),"",VLOOKUP(C80,'Auction Summary'!$P$3:$R$600,2,FALSE))</f>
        <v/>
      </c>
      <c r="P80" s="16"/>
      <c r="Q80" s="95" t="e">
        <f>VLOOKUP(C80,'Member Details (HOF Only)'!$A$2:$U$219,4,FALSE)</f>
        <v>#N/A</v>
      </c>
      <c r="R80" s="13"/>
      <c r="S80" s="95" t="e">
        <f>VLOOKUP(C80,'Member Details (HOF Only)'!$A$2:$U$219,7,FALSE)</f>
        <v>#N/A</v>
      </c>
      <c r="T80" s="11">
        <f t="shared" si="1"/>
        <v>0</v>
      </c>
    </row>
    <row r="81" spans="1:20" x14ac:dyDescent="0.2">
      <c r="A81" s="18"/>
      <c r="B81" s="85"/>
      <c r="C81" s="19"/>
      <c r="D81" s="31"/>
      <c r="E81" s="24"/>
      <c r="F81" s="16"/>
      <c r="G81" s="16"/>
      <c r="H81" s="16"/>
      <c r="I81" s="16"/>
      <c r="J81" s="20"/>
      <c r="K81" s="25"/>
      <c r="L81" s="16"/>
      <c r="M81" s="16"/>
      <c r="N81" s="16"/>
      <c r="O81" s="16" t="str">
        <f>IF(ISNA(VLOOKUP(C81,'Auction Summary'!$P$3:$R$600,2,FALSE)),"",VLOOKUP(C81,'Auction Summary'!$P$3:$R$600,2,FALSE))</f>
        <v/>
      </c>
      <c r="P81" s="16"/>
      <c r="Q81" s="95" t="e">
        <f>VLOOKUP(C81,'Member Details (HOF Only)'!$A$2:$U$219,4,FALSE)</f>
        <v>#N/A</v>
      </c>
      <c r="R81" s="13"/>
      <c r="S81" s="95" t="e">
        <f>VLOOKUP(C81,'Member Details (HOF Only)'!$A$2:$U$219,7,FALSE)</f>
        <v>#N/A</v>
      </c>
      <c r="T81" s="11">
        <f t="shared" si="1"/>
        <v>0</v>
      </c>
    </row>
    <row r="82" spans="1:20" x14ac:dyDescent="0.2">
      <c r="A82" s="18"/>
      <c r="B82" s="85"/>
      <c r="C82" s="19"/>
      <c r="D82" s="31"/>
      <c r="E82" s="24"/>
      <c r="F82" s="16"/>
      <c r="G82" s="16"/>
      <c r="H82" s="16"/>
      <c r="I82" s="16"/>
      <c r="J82" s="20"/>
      <c r="K82" s="25"/>
      <c r="L82" s="16"/>
      <c r="M82" s="16"/>
      <c r="N82" s="16"/>
      <c r="O82" s="16" t="str">
        <f>IF(ISNA(VLOOKUP(C82,'Auction Summary'!$P$3:$R$600,2,FALSE)),"",VLOOKUP(C82,'Auction Summary'!$P$3:$R$600,2,FALSE))</f>
        <v/>
      </c>
      <c r="P82" s="16"/>
      <c r="Q82" s="95" t="e">
        <f>VLOOKUP(C82,'Member Details (HOF Only)'!$A$2:$U$219,4,FALSE)</f>
        <v>#N/A</v>
      </c>
      <c r="R82" s="13"/>
      <c r="S82" s="95" t="e">
        <f>VLOOKUP(C82,'Member Details (HOF Only)'!$A$2:$U$219,7,FALSE)</f>
        <v>#N/A</v>
      </c>
      <c r="T82" s="11">
        <f t="shared" si="1"/>
        <v>0</v>
      </c>
    </row>
    <row r="83" spans="1:20" x14ac:dyDescent="0.2">
      <c r="A83" s="18"/>
      <c r="B83" s="85"/>
      <c r="C83" s="19"/>
      <c r="D83" s="31"/>
      <c r="E83" s="24"/>
      <c r="F83" s="16"/>
      <c r="G83" s="16"/>
      <c r="H83" s="16"/>
      <c r="I83" s="16"/>
      <c r="J83" s="20"/>
      <c r="K83" s="25"/>
      <c r="L83" s="16"/>
      <c r="M83" s="16"/>
      <c r="N83" s="16"/>
      <c r="O83" s="16" t="str">
        <f>IF(ISNA(VLOOKUP(C83,'Auction Summary'!$P$3:$R$600,2,FALSE)),"",VLOOKUP(C83,'Auction Summary'!$P$3:$R$600,2,FALSE))</f>
        <v/>
      </c>
      <c r="P83" s="16"/>
      <c r="Q83" s="95" t="e">
        <f>VLOOKUP(C83,'Member Details (HOF Only)'!$A$2:$U$219,4,FALSE)</f>
        <v>#N/A</v>
      </c>
      <c r="R83" s="13"/>
      <c r="S83" s="95" t="e">
        <f>VLOOKUP(C83,'Member Details (HOF Only)'!$A$2:$U$219,7,FALSE)</f>
        <v>#N/A</v>
      </c>
      <c r="T83" s="11">
        <f t="shared" si="1"/>
        <v>0</v>
      </c>
    </row>
    <row r="84" spans="1:20" x14ac:dyDescent="0.2">
      <c r="A84" s="18"/>
      <c r="B84" s="85"/>
      <c r="C84" s="19"/>
      <c r="D84" s="31"/>
      <c r="E84" s="24"/>
      <c r="F84" s="16"/>
      <c r="G84" s="16"/>
      <c r="H84" s="16"/>
      <c r="I84" s="16"/>
      <c r="J84" s="20"/>
      <c r="K84" s="25"/>
      <c r="L84" s="16"/>
      <c r="M84" s="16"/>
      <c r="N84" s="16"/>
      <c r="O84" s="16" t="str">
        <f>IF(ISNA(VLOOKUP(C84,'Auction Summary'!$P$3:$R$600,2,FALSE)),"",VLOOKUP(C84,'Auction Summary'!$P$3:$R$600,2,FALSE))</f>
        <v/>
      </c>
      <c r="P84" s="16"/>
      <c r="Q84" s="95" t="e">
        <f>VLOOKUP(C84,'Member Details (HOF Only)'!$A$2:$U$219,4,FALSE)</f>
        <v>#N/A</v>
      </c>
      <c r="R84" s="13"/>
      <c r="S84" s="95" t="e">
        <f>VLOOKUP(C84,'Member Details (HOF Only)'!$A$2:$U$219,7,FALSE)</f>
        <v>#N/A</v>
      </c>
      <c r="T84" s="11">
        <f t="shared" si="1"/>
        <v>0</v>
      </c>
    </row>
    <row r="85" spans="1:20" x14ac:dyDescent="0.2">
      <c r="A85" s="18"/>
      <c r="B85" s="85"/>
      <c r="C85" s="19"/>
      <c r="D85" s="31"/>
      <c r="E85" s="24"/>
      <c r="F85" s="16"/>
      <c r="G85" s="16"/>
      <c r="H85" s="16"/>
      <c r="I85" s="16"/>
      <c r="J85" s="20"/>
      <c r="K85" s="25"/>
      <c r="L85" s="16"/>
      <c r="M85" s="16"/>
      <c r="N85" s="16"/>
      <c r="O85" s="16" t="str">
        <f>IF(ISNA(VLOOKUP(C85,'Auction Summary'!$P$3:$R$600,2,FALSE)),"",VLOOKUP(C85,'Auction Summary'!$P$3:$R$600,2,FALSE))</f>
        <v/>
      </c>
      <c r="P85" s="16"/>
      <c r="Q85" s="95" t="e">
        <f>VLOOKUP(C85,'Member Details (HOF Only)'!$A$2:$U$219,4,FALSE)</f>
        <v>#N/A</v>
      </c>
      <c r="R85" s="13"/>
      <c r="S85" s="95" t="e">
        <f>VLOOKUP(C85,'Member Details (HOF Only)'!$A$2:$U$219,7,FALSE)</f>
        <v>#N/A</v>
      </c>
      <c r="T85" s="11">
        <f t="shared" si="1"/>
        <v>0</v>
      </c>
    </row>
    <row r="86" spans="1:20" x14ac:dyDescent="0.2">
      <c r="A86" s="18"/>
      <c r="B86" s="85"/>
      <c r="C86" s="19"/>
      <c r="D86" s="31"/>
      <c r="E86" s="24"/>
      <c r="F86" s="16"/>
      <c r="G86" s="16"/>
      <c r="H86" s="16"/>
      <c r="I86" s="16"/>
      <c r="J86" s="20"/>
      <c r="K86" s="25"/>
      <c r="L86" s="16"/>
      <c r="M86" s="16"/>
      <c r="N86" s="16"/>
      <c r="O86" s="16" t="str">
        <f>IF(ISNA(VLOOKUP(C86,'Auction Summary'!$P$3:$R$600,2,FALSE)),"",VLOOKUP(C86,'Auction Summary'!$P$3:$R$600,2,FALSE))</f>
        <v/>
      </c>
      <c r="P86" s="16"/>
      <c r="Q86" s="95" t="e">
        <f>VLOOKUP(C86,'Member Details (HOF Only)'!$A$2:$U$219,4,FALSE)</f>
        <v>#N/A</v>
      </c>
      <c r="R86" s="13"/>
      <c r="S86" s="95" t="e">
        <f>VLOOKUP(C86,'Member Details (HOF Only)'!$A$2:$U$219,7,FALSE)</f>
        <v>#N/A</v>
      </c>
      <c r="T86" s="11">
        <f t="shared" si="1"/>
        <v>0</v>
      </c>
    </row>
    <row r="87" spans="1:20" x14ac:dyDescent="0.2">
      <c r="A87" s="18"/>
      <c r="B87" s="85"/>
      <c r="C87" s="19"/>
      <c r="D87" s="31"/>
      <c r="E87" s="24"/>
      <c r="F87" s="16"/>
      <c r="G87" s="16"/>
      <c r="H87" s="16"/>
      <c r="I87" s="16"/>
      <c r="J87" s="20"/>
      <c r="K87" s="25"/>
      <c r="L87" s="16"/>
      <c r="M87" s="16"/>
      <c r="N87" s="16"/>
      <c r="O87" s="16" t="str">
        <f>IF(ISNA(VLOOKUP(C87,'Auction Summary'!$P$3:$R$600,2,FALSE)),"",VLOOKUP(C87,'Auction Summary'!$P$3:$R$600,2,FALSE))</f>
        <v/>
      </c>
      <c r="P87" s="16"/>
      <c r="Q87" s="95" t="e">
        <f>VLOOKUP(C87,'Member Details (HOF Only)'!$A$2:$U$219,4,FALSE)</f>
        <v>#N/A</v>
      </c>
      <c r="R87" s="13"/>
      <c r="S87" s="95" t="e">
        <f>VLOOKUP(C87,'Member Details (HOF Only)'!$A$2:$U$219,7,FALSE)</f>
        <v>#N/A</v>
      </c>
      <c r="T87" s="11">
        <f t="shared" si="1"/>
        <v>0</v>
      </c>
    </row>
    <row r="88" spans="1:20" x14ac:dyDescent="0.2">
      <c r="A88" s="18"/>
      <c r="B88" s="85"/>
      <c r="C88" s="19"/>
      <c r="D88" s="31"/>
      <c r="E88" s="24"/>
      <c r="F88" s="16"/>
      <c r="G88" s="16"/>
      <c r="H88" s="16"/>
      <c r="I88" s="16"/>
      <c r="J88" s="20"/>
      <c r="K88" s="25"/>
      <c r="L88" s="16"/>
      <c r="M88" s="16"/>
      <c r="N88" s="16"/>
      <c r="O88" s="16" t="str">
        <f>IF(ISNA(VLOOKUP(C88,'Auction Summary'!$P$3:$R$600,2,FALSE)),"",VLOOKUP(C88,'Auction Summary'!$P$3:$R$600,2,FALSE))</f>
        <v/>
      </c>
      <c r="P88" s="16"/>
      <c r="Q88" s="95" t="e">
        <f>VLOOKUP(C88,'Member Details (HOF Only)'!$A$2:$U$219,4,FALSE)</f>
        <v>#N/A</v>
      </c>
      <c r="R88" s="13"/>
      <c r="S88" s="95" t="e">
        <f>VLOOKUP(C88,'Member Details (HOF Only)'!$A$2:$U$219,7,FALSE)</f>
        <v>#N/A</v>
      </c>
      <c r="T88" s="11">
        <f t="shared" si="1"/>
        <v>0</v>
      </c>
    </row>
    <row r="89" spans="1:20" x14ac:dyDescent="0.2">
      <c r="A89" s="18"/>
      <c r="B89" s="85"/>
      <c r="C89" s="19"/>
      <c r="D89" s="31"/>
      <c r="E89" s="24"/>
      <c r="F89" s="16"/>
      <c r="G89" s="16"/>
      <c r="H89" s="16"/>
      <c r="I89" s="16"/>
      <c r="J89" s="20"/>
      <c r="K89" s="25"/>
      <c r="L89" s="16"/>
      <c r="M89" s="16"/>
      <c r="N89" s="16"/>
      <c r="O89" s="16" t="str">
        <f>IF(ISNA(VLOOKUP(C89,'Auction Summary'!$P$3:$R$600,2,FALSE)),"",VLOOKUP(C89,'Auction Summary'!$P$3:$R$600,2,FALSE))</f>
        <v/>
      </c>
      <c r="P89" s="16"/>
      <c r="Q89" s="95" t="e">
        <f>VLOOKUP(C89,'Member Details (HOF Only)'!$A$2:$U$219,4,FALSE)</f>
        <v>#N/A</v>
      </c>
      <c r="R89" s="13"/>
      <c r="S89" s="95" t="e">
        <f>VLOOKUP(C89,'Member Details (HOF Only)'!$A$2:$U$219,7,FALSE)</f>
        <v>#N/A</v>
      </c>
      <c r="T89" s="11">
        <f t="shared" si="1"/>
        <v>0</v>
      </c>
    </row>
    <row r="90" spans="1:20" x14ac:dyDescent="0.2">
      <c r="A90" s="18"/>
      <c r="B90" s="85"/>
      <c r="C90" s="19"/>
      <c r="D90" s="31"/>
      <c r="E90" s="24"/>
      <c r="F90" s="16"/>
      <c r="G90" s="16"/>
      <c r="H90" s="16"/>
      <c r="I90" s="16"/>
      <c r="J90" s="20"/>
      <c r="K90" s="25"/>
      <c r="L90" s="16"/>
      <c r="M90" s="16"/>
      <c r="N90" s="16"/>
      <c r="O90" s="16" t="str">
        <f>IF(ISNA(VLOOKUP(C90,'Auction Summary'!$P$3:$R$600,2,FALSE)),"",VLOOKUP(C90,'Auction Summary'!$P$3:$R$600,2,FALSE))</f>
        <v/>
      </c>
      <c r="P90" s="16"/>
      <c r="Q90" s="95" t="e">
        <f>VLOOKUP(C90,'Member Details (HOF Only)'!$A$2:$U$219,4,FALSE)</f>
        <v>#N/A</v>
      </c>
      <c r="R90" s="13"/>
      <c r="S90" s="95" t="e">
        <f>VLOOKUP(C90,'Member Details (HOF Only)'!$A$2:$U$219,7,FALSE)</f>
        <v>#N/A</v>
      </c>
      <c r="T90" s="11">
        <f t="shared" si="1"/>
        <v>0</v>
      </c>
    </row>
    <row r="91" spans="1:20" x14ac:dyDescent="0.2">
      <c r="A91" s="18"/>
      <c r="B91" s="85"/>
      <c r="C91" s="19"/>
      <c r="D91" s="31"/>
      <c r="E91" s="24"/>
      <c r="F91" s="16"/>
      <c r="G91" s="16"/>
      <c r="H91" s="16"/>
      <c r="I91" s="16"/>
      <c r="J91" s="20"/>
      <c r="K91" s="25"/>
      <c r="L91" s="16"/>
      <c r="M91" s="16"/>
      <c r="N91" s="16"/>
      <c r="O91" s="16" t="str">
        <f>IF(ISNA(VLOOKUP(C91,'Auction Summary'!$P$3:$R$600,2,FALSE)),"",VLOOKUP(C91,'Auction Summary'!$P$3:$R$600,2,FALSE))</f>
        <v/>
      </c>
      <c r="P91" s="16"/>
      <c r="Q91" s="95" t="e">
        <f>VLOOKUP(C91,'Member Details (HOF Only)'!$A$2:$U$219,4,FALSE)</f>
        <v>#N/A</v>
      </c>
      <c r="R91" s="13"/>
      <c r="S91" s="95" t="e">
        <f>VLOOKUP(C91,'Member Details (HOF Only)'!$A$2:$U$219,7,FALSE)</f>
        <v>#N/A</v>
      </c>
      <c r="T91" s="11">
        <f t="shared" si="1"/>
        <v>0</v>
      </c>
    </row>
    <row r="92" spans="1:20" x14ac:dyDescent="0.2">
      <c r="A92" s="18"/>
      <c r="B92" s="85"/>
      <c r="C92" s="19"/>
      <c r="D92" s="31"/>
      <c r="E92" s="24"/>
      <c r="F92" s="16"/>
      <c r="G92" s="16"/>
      <c r="H92" s="16"/>
      <c r="I92" s="16"/>
      <c r="J92" s="20"/>
      <c r="K92" s="25"/>
      <c r="L92" s="16"/>
      <c r="M92" s="16"/>
      <c r="N92" s="16"/>
      <c r="O92" s="16" t="str">
        <f>IF(ISNA(VLOOKUP(C92,'Auction Summary'!$P$3:$R$600,2,FALSE)),"",VLOOKUP(C92,'Auction Summary'!$P$3:$R$600,2,FALSE))</f>
        <v/>
      </c>
      <c r="P92" s="16"/>
      <c r="Q92" s="95" t="e">
        <f>VLOOKUP(C92,'Member Details (HOF Only)'!$A$2:$U$219,4,FALSE)</f>
        <v>#N/A</v>
      </c>
      <c r="R92" s="13"/>
      <c r="S92" s="95" t="e">
        <f>VLOOKUP(C92,'Member Details (HOF Only)'!$A$2:$U$219,7,FALSE)</f>
        <v>#N/A</v>
      </c>
      <c r="T92" s="11">
        <f t="shared" si="1"/>
        <v>0</v>
      </c>
    </row>
    <row r="93" spans="1:20" x14ac:dyDescent="0.2">
      <c r="A93" s="18"/>
      <c r="B93" s="85"/>
      <c r="C93" s="19"/>
      <c r="D93" s="31"/>
      <c r="E93" s="24"/>
      <c r="F93" s="16"/>
      <c r="G93" s="16"/>
      <c r="H93" s="16"/>
      <c r="I93" s="16"/>
      <c r="J93" s="20"/>
      <c r="K93" s="25"/>
      <c r="L93" s="16"/>
      <c r="M93" s="16"/>
      <c r="N93" s="16"/>
      <c r="O93" s="16" t="str">
        <f>IF(ISNA(VLOOKUP(C93,'Auction Summary'!$P$3:$R$600,2,FALSE)),"",VLOOKUP(C93,'Auction Summary'!$P$3:$R$600,2,FALSE))</f>
        <v/>
      </c>
      <c r="P93" s="16"/>
      <c r="Q93" s="95" t="e">
        <f>VLOOKUP(C93,'Member Details (HOF Only)'!$A$2:$U$219,4,FALSE)</f>
        <v>#N/A</v>
      </c>
      <c r="R93" s="13"/>
      <c r="S93" s="95" t="e">
        <f>VLOOKUP(C93,'Member Details (HOF Only)'!$A$2:$U$219,7,FALSE)</f>
        <v>#N/A</v>
      </c>
      <c r="T93" s="11">
        <f t="shared" si="1"/>
        <v>0</v>
      </c>
    </row>
    <row r="94" spans="1:20" x14ac:dyDescent="0.2">
      <c r="A94" s="18"/>
      <c r="B94" s="85"/>
      <c r="C94" s="19"/>
      <c r="D94" s="31"/>
      <c r="E94" s="24"/>
      <c r="F94" s="16"/>
      <c r="G94" s="16"/>
      <c r="H94" s="16"/>
      <c r="I94" s="16"/>
      <c r="J94" s="20"/>
      <c r="K94" s="25"/>
      <c r="L94" s="16"/>
      <c r="M94" s="16"/>
      <c r="N94" s="16"/>
      <c r="O94" s="16" t="str">
        <f>IF(ISNA(VLOOKUP(C94,'Auction Summary'!$P$3:$R$600,2,FALSE)),"",VLOOKUP(C94,'Auction Summary'!$P$3:$R$600,2,FALSE))</f>
        <v/>
      </c>
      <c r="P94" s="16"/>
      <c r="Q94" s="95" t="e">
        <f>VLOOKUP(C94,'Member Details (HOF Only)'!$A$2:$U$219,4,FALSE)</f>
        <v>#N/A</v>
      </c>
      <c r="R94" s="13"/>
      <c r="S94" s="95" t="e">
        <f>VLOOKUP(C94,'Member Details (HOF Only)'!$A$2:$U$219,7,FALSE)</f>
        <v>#N/A</v>
      </c>
      <c r="T94" s="11">
        <f t="shared" si="1"/>
        <v>0</v>
      </c>
    </row>
    <row r="95" spans="1:20" x14ac:dyDescent="0.2">
      <c r="A95" s="18"/>
      <c r="B95" s="85"/>
      <c r="C95" s="19"/>
      <c r="D95" s="31"/>
      <c r="E95" s="24"/>
      <c r="F95" s="16"/>
      <c r="G95" s="16"/>
      <c r="H95" s="16"/>
      <c r="I95" s="16"/>
      <c r="J95" s="20"/>
      <c r="K95" s="25"/>
      <c r="L95" s="16"/>
      <c r="M95" s="16"/>
      <c r="N95" s="16"/>
      <c r="O95" s="16" t="str">
        <f>IF(ISNA(VLOOKUP(C95,'Auction Summary'!$P$3:$R$600,2,FALSE)),"",VLOOKUP(C95,'Auction Summary'!$P$3:$R$600,2,FALSE))</f>
        <v/>
      </c>
      <c r="P95" s="16"/>
      <c r="Q95" s="95" t="e">
        <f>VLOOKUP(C95,'Member Details (HOF Only)'!$A$2:$U$219,4,FALSE)</f>
        <v>#N/A</v>
      </c>
      <c r="R95" s="13"/>
      <c r="S95" s="95" t="e">
        <f>VLOOKUP(C95,'Member Details (HOF Only)'!$A$2:$U$219,7,FALSE)</f>
        <v>#N/A</v>
      </c>
      <c r="T95" s="11">
        <f t="shared" si="1"/>
        <v>0</v>
      </c>
    </row>
    <row r="96" spans="1:20" x14ac:dyDescent="0.2">
      <c r="A96" s="18"/>
      <c r="B96" s="85"/>
      <c r="C96" s="19"/>
      <c r="D96" s="31"/>
      <c r="E96" s="24"/>
      <c r="F96" s="16"/>
      <c r="G96" s="16"/>
      <c r="H96" s="16"/>
      <c r="I96" s="16"/>
      <c r="J96" s="20"/>
      <c r="K96" s="25"/>
      <c r="L96" s="16"/>
      <c r="M96" s="16"/>
      <c r="N96" s="16"/>
      <c r="O96" s="16" t="str">
        <f>IF(ISNA(VLOOKUP(C96,'Auction Summary'!$P$3:$R$600,2,FALSE)),"",VLOOKUP(C96,'Auction Summary'!$P$3:$R$600,2,FALSE))</f>
        <v/>
      </c>
      <c r="P96" s="16"/>
      <c r="Q96" s="95" t="e">
        <f>VLOOKUP(C96,'Member Details (HOF Only)'!$A$2:$U$219,4,FALSE)</f>
        <v>#N/A</v>
      </c>
      <c r="R96" s="13"/>
      <c r="S96" s="95" t="e">
        <f>VLOOKUP(C96,'Member Details (HOF Only)'!$A$2:$U$219,7,FALSE)</f>
        <v>#N/A</v>
      </c>
      <c r="T96" s="11">
        <f t="shared" si="1"/>
        <v>0</v>
      </c>
    </row>
    <row r="97" spans="1:20" x14ac:dyDescent="0.2">
      <c r="A97" s="18"/>
      <c r="B97" s="85"/>
      <c r="C97" s="19"/>
      <c r="D97" s="31"/>
      <c r="E97" s="24"/>
      <c r="F97" s="16"/>
      <c r="G97" s="16"/>
      <c r="H97" s="16"/>
      <c r="I97" s="16"/>
      <c r="J97" s="20"/>
      <c r="K97" s="25"/>
      <c r="L97" s="16"/>
      <c r="M97" s="16"/>
      <c r="N97" s="16"/>
      <c r="O97" s="16" t="str">
        <f>IF(ISNA(VLOOKUP(C97,'Auction Summary'!$P$3:$R$600,2,FALSE)),"",VLOOKUP(C97,'Auction Summary'!$P$3:$R$600,2,FALSE))</f>
        <v/>
      </c>
      <c r="P97" s="16"/>
      <c r="Q97" s="95" t="e">
        <f>VLOOKUP(C97,'Member Details (HOF Only)'!$A$2:$U$219,4,FALSE)</f>
        <v>#N/A</v>
      </c>
      <c r="R97" s="13"/>
      <c r="S97" s="95" t="e">
        <f>VLOOKUP(C97,'Member Details (HOF Only)'!$A$2:$U$219,7,FALSE)</f>
        <v>#N/A</v>
      </c>
      <c r="T97" s="11">
        <f t="shared" si="1"/>
        <v>0</v>
      </c>
    </row>
    <row r="98" spans="1:20" x14ac:dyDescent="0.2">
      <c r="A98" s="18"/>
      <c r="B98" s="85"/>
      <c r="C98" s="19"/>
      <c r="D98" s="31"/>
      <c r="E98" s="24"/>
      <c r="F98" s="16"/>
      <c r="G98" s="16"/>
      <c r="H98" s="16"/>
      <c r="I98" s="16"/>
      <c r="J98" s="20"/>
      <c r="K98" s="25"/>
      <c r="L98" s="16"/>
      <c r="M98" s="16"/>
      <c r="N98" s="16"/>
      <c r="O98" s="16" t="str">
        <f>IF(ISNA(VLOOKUP(C98,'Auction Summary'!$P$3:$R$600,2,FALSE)),"",VLOOKUP(C98,'Auction Summary'!$P$3:$R$600,2,FALSE))</f>
        <v/>
      </c>
      <c r="P98" s="16"/>
      <c r="Q98" s="95" t="e">
        <f>VLOOKUP(C98,'Member Details (HOF Only)'!$A$2:$U$219,4,FALSE)</f>
        <v>#N/A</v>
      </c>
      <c r="R98" s="13"/>
      <c r="S98" s="95" t="e">
        <f>VLOOKUP(C98,'Member Details (HOF Only)'!$A$2:$U$219,7,FALSE)</f>
        <v>#N/A</v>
      </c>
      <c r="T98" s="11">
        <f t="shared" si="1"/>
        <v>0</v>
      </c>
    </row>
    <row r="99" spans="1:20" x14ac:dyDescent="0.2">
      <c r="A99" s="18"/>
      <c r="B99" s="85"/>
      <c r="C99" s="19"/>
      <c r="D99" s="31"/>
      <c r="E99" s="24"/>
      <c r="F99" s="16"/>
      <c r="G99" s="16"/>
      <c r="H99" s="16"/>
      <c r="I99" s="16"/>
      <c r="J99" s="20"/>
      <c r="K99" s="25"/>
      <c r="L99" s="16"/>
      <c r="M99" s="16"/>
      <c r="N99" s="16"/>
      <c r="O99" s="16" t="str">
        <f>IF(ISNA(VLOOKUP(C99,'Auction Summary'!$P$3:$R$600,2,FALSE)),"",VLOOKUP(C99,'Auction Summary'!$P$3:$R$600,2,FALSE))</f>
        <v/>
      </c>
      <c r="P99" s="16"/>
      <c r="Q99" s="95" t="e">
        <f>VLOOKUP(C99,'Member Details (HOF Only)'!$A$2:$U$219,4,FALSE)</f>
        <v>#N/A</v>
      </c>
      <c r="R99" s="13"/>
      <c r="S99" s="95" t="e">
        <f>VLOOKUP(C99,'Member Details (HOF Only)'!$A$2:$U$219,7,FALSE)</f>
        <v>#N/A</v>
      </c>
      <c r="T99" s="11">
        <f t="shared" si="1"/>
        <v>0</v>
      </c>
    </row>
    <row r="100" spans="1:20" x14ac:dyDescent="0.2">
      <c r="A100" s="18"/>
      <c r="B100" s="85"/>
      <c r="C100" s="19"/>
      <c r="D100" s="31"/>
      <c r="E100" s="24"/>
      <c r="F100" s="16"/>
      <c r="G100" s="16"/>
      <c r="H100" s="16"/>
      <c r="I100" s="16"/>
      <c r="J100" s="20"/>
      <c r="K100" s="25"/>
      <c r="L100" s="16"/>
      <c r="M100" s="16"/>
      <c r="N100" s="16"/>
      <c r="O100" s="16" t="str">
        <f>IF(ISNA(VLOOKUP(C100,'Auction Summary'!$P$3:$R$600,2,FALSE)),"",VLOOKUP(C100,'Auction Summary'!$P$3:$R$600,2,FALSE))</f>
        <v/>
      </c>
      <c r="P100" s="16"/>
      <c r="Q100" s="95" t="e">
        <f>VLOOKUP(C100,'Member Details (HOF Only)'!$A$2:$U$219,4,FALSE)</f>
        <v>#N/A</v>
      </c>
      <c r="R100" s="13"/>
      <c r="S100" s="95" t="e">
        <f>VLOOKUP(C100,'Member Details (HOF Only)'!$A$2:$U$219,7,FALSE)</f>
        <v>#N/A</v>
      </c>
      <c r="T100" s="11">
        <f t="shared" si="1"/>
        <v>0</v>
      </c>
    </row>
    <row r="101" spans="1:20" x14ac:dyDescent="0.2">
      <c r="A101" s="18"/>
      <c r="B101" s="85"/>
      <c r="C101" s="19"/>
      <c r="D101" s="31"/>
      <c r="E101" s="24"/>
      <c r="F101" s="16"/>
      <c r="G101" s="16"/>
      <c r="H101" s="16"/>
      <c r="I101" s="16"/>
      <c r="J101" s="20"/>
      <c r="K101" s="25"/>
      <c r="L101" s="16"/>
      <c r="M101" s="16"/>
      <c r="N101" s="16"/>
      <c r="O101" s="16" t="str">
        <f>IF(ISNA(VLOOKUP(C101,'Auction Summary'!$P$3:$R$600,2,FALSE)),"",VLOOKUP(C101,'Auction Summary'!$P$3:$R$600,2,FALSE))</f>
        <v/>
      </c>
      <c r="P101" s="16"/>
      <c r="Q101" s="95" t="e">
        <f>VLOOKUP(C101,'Member Details (HOF Only)'!$A$2:$U$219,4,FALSE)</f>
        <v>#N/A</v>
      </c>
      <c r="R101" s="13"/>
      <c r="S101" s="95" t="e">
        <f>VLOOKUP(C101,'Member Details (HOF Only)'!$A$2:$U$219,7,FALSE)</f>
        <v>#N/A</v>
      </c>
      <c r="T101" s="11">
        <f t="shared" si="1"/>
        <v>0</v>
      </c>
    </row>
    <row r="102" spans="1:20" x14ac:dyDescent="0.2">
      <c r="A102" s="18"/>
      <c r="B102" s="85"/>
      <c r="C102" s="19"/>
      <c r="D102" s="31"/>
      <c r="E102" s="24"/>
      <c r="F102" s="16"/>
      <c r="G102" s="16"/>
      <c r="H102" s="16"/>
      <c r="I102" s="16"/>
      <c r="J102" s="20"/>
      <c r="K102" s="25"/>
      <c r="L102" s="16"/>
      <c r="M102" s="16"/>
      <c r="N102" s="16"/>
      <c r="O102" s="16" t="str">
        <f>IF(ISNA(VLOOKUP(C102,'Auction Summary'!$P$3:$R$600,2,FALSE)),"",VLOOKUP(C102,'Auction Summary'!$P$3:$R$600,2,FALSE))</f>
        <v/>
      </c>
      <c r="P102" s="16"/>
      <c r="Q102" s="95" t="e">
        <f>VLOOKUP(C102,'Member Details (HOF Only)'!$A$2:$U$219,4,FALSE)</f>
        <v>#N/A</v>
      </c>
      <c r="R102" s="13"/>
      <c r="S102" s="95" t="e">
        <f>VLOOKUP(C102,'Member Details (HOF Only)'!$A$2:$U$219,7,FALSE)</f>
        <v>#N/A</v>
      </c>
      <c r="T102" s="11">
        <f t="shared" si="1"/>
        <v>0</v>
      </c>
    </row>
    <row r="103" spans="1:20" x14ac:dyDescent="0.2">
      <c r="A103" s="18"/>
      <c r="B103" s="85"/>
      <c r="C103" s="19"/>
      <c r="D103" s="31"/>
      <c r="E103" s="24"/>
      <c r="F103" s="16"/>
      <c r="G103" s="16"/>
      <c r="H103" s="16"/>
      <c r="I103" s="16"/>
      <c r="J103" s="20"/>
      <c r="K103" s="25"/>
      <c r="L103" s="16"/>
      <c r="M103" s="16"/>
      <c r="N103" s="16"/>
      <c r="O103" s="16" t="str">
        <f>IF(ISNA(VLOOKUP(C103,'Auction Summary'!$P$3:$R$600,2,FALSE)),"",VLOOKUP(C103,'Auction Summary'!$P$3:$R$600,2,FALSE))</f>
        <v/>
      </c>
      <c r="P103" s="16"/>
      <c r="Q103" s="95" t="e">
        <f>VLOOKUP(C103,'Member Details (HOF Only)'!$A$2:$U$219,4,FALSE)</f>
        <v>#N/A</v>
      </c>
      <c r="R103" s="13"/>
      <c r="S103" s="95" t="e">
        <f>VLOOKUP(C103,'Member Details (HOF Only)'!$A$2:$U$219,7,FALSE)</f>
        <v>#N/A</v>
      </c>
      <c r="T103" s="11">
        <f t="shared" si="1"/>
        <v>0</v>
      </c>
    </row>
    <row r="104" spans="1:20" x14ac:dyDescent="0.2">
      <c r="A104" s="18"/>
      <c r="B104" s="85"/>
      <c r="C104" s="19"/>
      <c r="D104" s="31"/>
      <c r="E104" s="24"/>
      <c r="F104" s="16"/>
      <c r="G104" s="16"/>
      <c r="H104" s="16"/>
      <c r="I104" s="16"/>
      <c r="J104" s="20"/>
      <c r="K104" s="25"/>
      <c r="L104" s="16"/>
      <c r="M104" s="16"/>
      <c r="N104" s="16"/>
      <c r="O104" s="16" t="str">
        <f>IF(ISNA(VLOOKUP(C104,'Auction Summary'!$P$3:$R$600,2,FALSE)),"",VLOOKUP(C104,'Auction Summary'!$P$3:$R$600,2,FALSE))</f>
        <v/>
      </c>
      <c r="P104" s="16"/>
      <c r="Q104" s="95" t="e">
        <f>VLOOKUP(C104,'Member Details (HOF Only)'!$A$2:$U$219,4,FALSE)</f>
        <v>#N/A</v>
      </c>
      <c r="R104" s="13"/>
      <c r="S104" s="95" t="e">
        <f>VLOOKUP(C104,'Member Details (HOF Only)'!$A$2:$U$219,7,FALSE)</f>
        <v>#N/A</v>
      </c>
      <c r="T104" s="11">
        <f t="shared" si="1"/>
        <v>0</v>
      </c>
    </row>
    <row r="105" spans="1:20" x14ac:dyDescent="0.2">
      <c r="A105" s="18"/>
      <c r="B105" s="85"/>
      <c r="C105" s="19"/>
      <c r="D105" s="31"/>
      <c r="E105" s="24"/>
      <c r="F105" s="16"/>
      <c r="G105" s="16"/>
      <c r="H105" s="16"/>
      <c r="I105" s="16"/>
      <c r="J105" s="20"/>
      <c r="K105" s="25"/>
      <c r="L105" s="16"/>
      <c r="M105" s="16"/>
      <c r="N105" s="16"/>
      <c r="O105" s="16" t="str">
        <f>IF(ISNA(VLOOKUP(C105,'Auction Summary'!$P$3:$R$600,2,FALSE)),"",VLOOKUP(C105,'Auction Summary'!$P$3:$R$600,2,FALSE))</f>
        <v/>
      </c>
      <c r="P105" s="16"/>
      <c r="Q105" s="95" t="e">
        <f>VLOOKUP(C105,'Member Details (HOF Only)'!$A$2:$U$219,4,FALSE)</f>
        <v>#N/A</v>
      </c>
      <c r="R105" s="13"/>
      <c r="S105" s="95" t="e">
        <f>VLOOKUP(C105,'Member Details (HOF Only)'!$A$2:$U$219,7,FALSE)</f>
        <v>#N/A</v>
      </c>
      <c r="T105" s="11">
        <f t="shared" si="1"/>
        <v>0</v>
      </c>
    </row>
    <row r="106" spans="1:20" x14ac:dyDescent="0.2">
      <c r="A106" s="18"/>
      <c r="B106" s="85"/>
      <c r="C106" s="19"/>
      <c r="D106" s="31"/>
      <c r="E106" s="24"/>
      <c r="F106" s="16"/>
      <c r="G106" s="16"/>
      <c r="H106" s="16"/>
      <c r="I106" s="16"/>
      <c r="J106" s="20"/>
      <c r="K106" s="25"/>
      <c r="L106" s="16"/>
      <c r="M106" s="16"/>
      <c r="N106" s="16"/>
      <c r="O106" s="16" t="str">
        <f>IF(ISNA(VLOOKUP(C106,'Auction Summary'!$P$3:$R$600,2,FALSE)),"",VLOOKUP(C106,'Auction Summary'!$P$3:$R$600,2,FALSE))</f>
        <v/>
      </c>
      <c r="P106" s="16"/>
      <c r="Q106" s="95" t="e">
        <f>VLOOKUP(C106,'Member Details (HOF Only)'!$A$2:$U$219,4,FALSE)</f>
        <v>#N/A</v>
      </c>
      <c r="R106" s="13"/>
      <c r="S106" s="95" t="e">
        <f>VLOOKUP(C106,'Member Details (HOF Only)'!$A$2:$U$219,7,FALSE)</f>
        <v>#N/A</v>
      </c>
      <c r="T106" s="11">
        <f t="shared" si="1"/>
        <v>0</v>
      </c>
    </row>
    <row r="107" spans="1:20" x14ac:dyDescent="0.2">
      <c r="A107" s="18"/>
      <c r="B107" s="85"/>
      <c r="C107" s="19"/>
      <c r="D107" s="31"/>
      <c r="E107" s="24"/>
      <c r="F107" s="16"/>
      <c r="G107" s="16"/>
      <c r="H107" s="16"/>
      <c r="I107" s="16"/>
      <c r="J107" s="20"/>
      <c r="K107" s="25"/>
      <c r="L107" s="16"/>
      <c r="M107" s="16"/>
      <c r="N107" s="16"/>
      <c r="O107" s="16" t="str">
        <f>IF(ISNA(VLOOKUP(C107,'Auction Summary'!$P$3:$R$600,2,FALSE)),"",VLOOKUP(C107,'Auction Summary'!$P$3:$R$600,2,FALSE))</f>
        <v/>
      </c>
      <c r="P107" s="16"/>
      <c r="Q107" s="95" t="e">
        <f>VLOOKUP(C107,'Member Details (HOF Only)'!$A$2:$U$219,4,FALSE)</f>
        <v>#N/A</v>
      </c>
      <c r="R107" s="13"/>
      <c r="S107" s="95" t="e">
        <f>VLOOKUP(C107,'Member Details (HOF Only)'!$A$2:$U$219,7,FALSE)</f>
        <v>#N/A</v>
      </c>
      <c r="T107" s="11">
        <f t="shared" si="1"/>
        <v>0</v>
      </c>
    </row>
    <row r="108" spans="1:20" x14ac:dyDescent="0.2">
      <c r="A108" s="18"/>
      <c r="B108" s="85"/>
      <c r="C108" s="19"/>
      <c r="D108" s="31"/>
      <c r="E108" s="24"/>
      <c r="F108" s="16"/>
      <c r="G108" s="16"/>
      <c r="H108" s="16"/>
      <c r="I108" s="16"/>
      <c r="J108" s="20"/>
      <c r="K108" s="25"/>
      <c r="L108" s="16"/>
      <c r="M108" s="16"/>
      <c r="N108" s="16"/>
      <c r="O108" s="16" t="str">
        <f>IF(ISNA(VLOOKUP(C108,'Auction Summary'!$P$3:$R$600,2,FALSE)),"",VLOOKUP(C108,'Auction Summary'!$P$3:$R$600,2,FALSE))</f>
        <v/>
      </c>
      <c r="P108" s="16"/>
      <c r="Q108" s="95" t="e">
        <f>VLOOKUP(C108,'Member Details (HOF Only)'!$A$2:$U$219,4,FALSE)</f>
        <v>#N/A</v>
      </c>
      <c r="R108" s="13"/>
      <c r="S108" s="95" t="e">
        <f>VLOOKUP(C108,'Member Details (HOF Only)'!$A$2:$U$219,7,FALSE)</f>
        <v>#N/A</v>
      </c>
      <c r="T108" s="11">
        <f t="shared" si="1"/>
        <v>0</v>
      </c>
    </row>
    <row r="109" spans="1:20" x14ac:dyDescent="0.2">
      <c r="A109" s="18"/>
      <c r="B109" s="85"/>
      <c r="C109" s="19"/>
      <c r="D109" s="31"/>
      <c r="E109" s="24"/>
      <c r="F109" s="16"/>
      <c r="G109" s="16"/>
      <c r="H109" s="16"/>
      <c r="I109" s="16"/>
      <c r="J109" s="20"/>
      <c r="K109" s="25"/>
      <c r="L109" s="16"/>
      <c r="M109" s="16"/>
      <c r="N109" s="16"/>
      <c r="O109" s="16" t="str">
        <f>IF(ISNA(VLOOKUP(C109,'Auction Summary'!$P$3:$R$600,2,FALSE)),"",VLOOKUP(C109,'Auction Summary'!$P$3:$R$600,2,FALSE))</f>
        <v/>
      </c>
      <c r="P109" s="16"/>
      <c r="Q109" s="95" t="e">
        <f>VLOOKUP(C109,'Member Details (HOF Only)'!$A$2:$U$219,4,FALSE)</f>
        <v>#N/A</v>
      </c>
      <c r="R109" s="13"/>
      <c r="S109" s="95" t="e">
        <f>VLOOKUP(C109,'Member Details (HOF Only)'!$A$2:$U$219,7,FALSE)</f>
        <v>#N/A</v>
      </c>
      <c r="T109" s="11">
        <f t="shared" si="1"/>
        <v>0</v>
      </c>
    </row>
    <row r="110" spans="1:20" x14ac:dyDescent="0.2">
      <c r="A110" s="18"/>
      <c r="B110" s="85"/>
      <c r="C110" s="19"/>
      <c r="D110" s="31"/>
      <c r="E110" s="24"/>
      <c r="F110" s="16"/>
      <c r="G110" s="16"/>
      <c r="H110" s="16"/>
      <c r="I110" s="16"/>
      <c r="J110" s="20"/>
      <c r="K110" s="25"/>
      <c r="L110" s="16"/>
      <c r="M110" s="16"/>
      <c r="N110" s="16"/>
      <c r="O110" s="16" t="str">
        <f>IF(ISNA(VLOOKUP(C110,'Auction Summary'!$P$3:$R$600,2,FALSE)),"",VLOOKUP(C110,'Auction Summary'!$P$3:$R$600,2,FALSE))</f>
        <v/>
      </c>
      <c r="P110" s="16"/>
      <c r="Q110" s="95" t="e">
        <f>VLOOKUP(C110,'Member Details (HOF Only)'!$A$2:$U$219,4,FALSE)</f>
        <v>#N/A</v>
      </c>
      <c r="R110" s="13"/>
      <c r="S110" s="95" t="e">
        <f>VLOOKUP(C110,'Member Details (HOF Only)'!$A$2:$U$219,7,FALSE)</f>
        <v>#N/A</v>
      </c>
      <c r="T110" s="11">
        <f t="shared" si="1"/>
        <v>0</v>
      </c>
    </row>
    <row r="111" spans="1:20" x14ac:dyDescent="0.2">
      <c r="A111" s="18"/>
      <c r="B111" s="85"/>
      <c r="C111" s="19"/>
      <c r="D111" s="31"/>
      <c r="E111" s="24"/>
      <c r="F111" s="16"/>
      <c r="G111" s="16"/>
      <c r="H111" s="16"/>
      <c r="I111" s="16"/>
      <c r="J111" s="20"/>
      <c r="K111" s="25"/>
      <c r="L111" s="16"/>
      <c r="M111" s="16"/>
      <c r="N111" s="16"/>
      <c r="O111" s="16" t="str">
        <f>IF(ISNA(VLOOKUP(C111,'Auction Summary'!$P$3:$R$600,2,FALSE)),"",VLOOKUP(C111,'Auction Summary'!$P$3:$R$600,2,FALSE))</f>
        <v/>
      </c>
      <c r="P111" s="16"/>
      <c r="Q111" s="95" t="e">
        <f>VLOOKUP(C111,'Member Details (HOF Only)'!$A$2:$U$219,4,FALSE)</f>
        <v>#N/A</v>
      </c>
      <c r="R111" s="13"/>
      <c r="S111" s="95" t="e">
        <f>VLOOKUP(C111,'Member Details (HOF Only)'!$A$2:$U$219,7,FALSE)</f>
        <v>#N/A</v>
      </c>
      <c r="T111" s="11">
        <f t="shared" si="1"/>
        <v>0</v>
      </c>
    </row>
    <row r="112" spans="1:20" x14ac:dyDescent="0.2">
      <c r="A112" s="18"/>
      <c r="B112" s="85"/>
      <c r="C112" s="19"/>
      <c r="D112" s="31"/>
      <c r="E112" s="24"/>
      <c r="F112" s="16"/>
      <c r="G112" s="16"/>
      <c r="H112" s="16"/>
      <c r="I112" s="16"/>
      <c r="J112" s="20"/>
      <c r="K112" s="25"/>
      <c r="L112" s="16"/>
      <c r="M112" s="16"/>
      <c r="N112" s="16"/>
      <c r="O112" s="16" t="str">
        <f>IF(ISNA(VLOOKUP(C112,'Auction Summary'!$P$3:$R$600,2,FALSE)),"",VLOOKUP(C112,'Auction Summary'!$P$3:$R$600,2,FALSE))</f>
        <v/>
      </c>
      <c r="P112" s="16"/>
      <c r="Q112" s="95" t="e">
        <f>VLOOKUP(C112,'Member Details (HOF Only)'!$A$2:$U$219,4,FALSE)</f>
        <v>#N/A</v>
      </c>
      <c r="R112" s="13"/>
      <c r="S112" s="95" t="e">
        <f>VLOOKUP(C112,'Member Details (HOF Only)'!$A$2:$U$219,7,FALSE)</f>
        <v>#N/A</v>
      </c>
      <c r="T112" s="11">
        <f t="shared" si="1"/>
        <v>0</v>
      </c>
    </row>
    <row r="113" spans="1:20" x14ac:dyDescent="0.2">
      <c r="A113" s="18"/>
      <c r="B113" s="85"/>
      <c r="C113" s="19"/>
      <c r="D113" s="31"/>
      <c r="E113" s="24"/>
      <c r="F113" s="16"/>
      <c r="G113" s="16"/>
      <c r="H113" s="16"/>
      <c r="I113" s="16"/>
      <c r="J113" s="20"/>
      <c r="K113" s="25"/>
      <c r="L113" s="16"/>
      <c r="M113" s="16"/>
      <c r="N113" s="16"/>
      <c r="O113" s="16" t="str">
        <f>IF(ISNA(VLOOKUP(C113,'Auction Summary'!$P$3:$R$600,2,FALSE)),"",VLOOKUP(C113,'Auction Summary'!$P$3:$R$600,2,FALSE))</f>
        <v/>
      </c>
      <c r="P113" s="16"/>
      <c r="Q113" s="95" t="e">
        <f>VLOOKUP(C113,'Member Details (HOF Only)'!$A$2:$U$219,4,FALSE)</f>
        <v>#N/A</v>
      </c>
      <c r="R113" s="13"/>
      <c r="S113" s="95" t="e">
        <f>VLOOKUP(C113,'Member Details (HOF Only)'!$A$2:$U$219,7,FALSE)</f>
        <v>#N/A</v>
      </c>
      <c r="T113" s="11">
        <f t="shared" si="1"/>
        <v>0</v>
      </c>
    </row>
    <row r="114" spans="1:20" x14ac:dyDescent="0.2">
      <c r="A114" s="18"/>
      <c r="B114" s="85"/>
      <c r="C114" s="19"/>
      <c r="D114" s="31"/>
      <c r="E114" s="24"/>
      <c r="F114" s="16"/>
      <c r="G114" s="16"/>
      <c r="H114" s="16"/>
      <c r="I114" s="16"/>
      <c r="J114" s="20"/>
      <c r="K114" s="25"/>
      <c r="L114" s="16"/>
      <c r="M114" s="16"/>
      <c r="N114" s="16"/>
      <c r="O114" s="16" t="str">
        <f>IF(ISNA(VLOOKUP(C114,'Auction Summary'!$P$3:$R$600,2,FALSE)),"",VLOOKUP(C114,'Auction Summary'!$P$3:$R$600,2,FALSE))</f>
        <v/>
      </c>
      <c r="P114" s="16"/>
      <c r="Q114" s="95" t="e">
        <f>VLOOKUP(C114,'Member Details (HOF Only)'!$A$2:$U$219,4,FALSE)</f>
        <v>#N/A</v>
      </c>
      <c r="R114" s="13"/>
      <c r="S114" s="95" t="e">
        <f>VLOOKUP(C114,'Member Details (HOF Only)'!$A$2:$U$219,7,FALSE)</f>
        <v>#N/A</v>
      </c>
      <c r="T114" s="11">
        <f t="shared" si="1"/>
        <v>0</v>
      </c>
    </row>
    <row r="115" spans="1:20" x14ac:dyDescent="0.2">
      <c r="A115" s="18"/>
      <c r="B115" s="85"/>
      <c r="C115" s="19"/>
      <c r="D115" s="31"/>
      <c r="E115" s="24"/>
      <c r="F115" s="16"/>
      <c r="G115" s="16"/>
      <c r="H115" s="16"/>
      <c r="I115" s="16"/>
      <c r="J115" s="20"/>
      <c r="K115" s="25"/>
      <c r="L115" s="16"/>
      <c r="M115" s="16"/>
      <c r="N115" s="16"/>
      <c r="O115" s="16" t="str">
        <f>IF(ISNA(VLOOKUP(C115,'Auction Summary'!$P$3:$R$600,2,FALSE)),"",VLOOKUP(C115,'Auction Summary'!$P$3:$R$600,2,FALSE))</f>
        <v/>
      </c>
      <c r="P115" s="16"/>
      <c r="Q115" s="95" t="e">
        <f>VLOOKUP(C115,'Member Details (HOF Only)'!$A$2:$U$219,4,FALSE)</f>
        <v>#N/A</v>
      </c>
      <c r="R115" s="13"/>
      <c r="S115" s="95" t="e">
        <f>VLOOKUP(C115,'Member Details (HOF Only)'!$A$2:$U$219,7,FALSE)</f>
        <v>#N/A</v>
      </c>
      <c r="T115" s="11">
        <f t="shared" si="1"/>
        <v>0</v>
      </c>
    </row>
    <row r="116" spans="1:20" x14ac:dyDescent="0.2">
      <c r="A116" s="18"/>
      <c r="B116" s="85"/>
      <c r="C116" s="19"/>
      <c r="D116" s="31"/>
      <c r="E116" s="24"/>
      <c r="F116" s="16"/>
      <c r="G116" s="16"/>
      <c r="H116" s="16"/>
      <c r="I116" s="16"/>
      <c r="J116" s="20"/>
      <c r="K116" s="25"/>
      <c r="L116" s="16"/>
      <c r="M116" s="16"/>
      <c r="N116" s="16"/>
      <c r="O116" s="16" t="str">
        <f>IF(ISNA(VLOOKUP(C116,'Auction Summary'!$P$3:$R$600,2,FALSE)),"",VLOOKUP(C116,'Auction Summary'!$P$3:$R$600,2,FALSE))</f>
        <v/>
      </c>
      <c r="P116" s="16"/>
      <c r="Q116" s="95" t="e">
        <f>VLOOKUP(C116,'Member Details (HOF Only)'!$A$2:$U$219,4,FALSE)</f>
        <v>#N/A</v>
      </c>
      <c r="R116" s="13"/>
      <c r="S116" s="95" t="e">
        <f>VLOOKUP(C116,'Member Details (HOF Only)'!$A$2:$U$219,7,FALSE)</f>
        <v>#N/A</v>
      </c>
      <c r="T116" s="11">
        <f t="shared" si="1"/>
        <v>0</v>
      </c>
    </row>
    <row r="117" spans="1:20" x14ac:dyDescent="0.2">
      <c r="A117" s="18"/>
      <c r="B117" s="85"/>
      <c r="C117" s="19"/>
      <c r="D117" s="31"/>
      <c r="E117" s="24"/>
      <c r="F117" s="16"/>
      <c r="G117" s="16"/>
      <c r="H117" s="16"/>
      <c r="I117" s="16"/>
      <c r="J117" s="20"/>
      <c r="K117" s="25"/>
      <c r="L117" s="16"/>
      <c r="M117" s="16"/>
      <c r="N117" s="16"/>
      <c r="O117" s="16" t="str">
        <f>IF(ISNA(VLOOKUP(C117,'Auction Summary'!$P$3:$R$600,2,FALSE)),"",VLOOKUP(C117,'Auction Summary'!$P$3:$R$600,2,FALSE))</f>
        <v/>
      </c>
      <c r="P117" s="16"/>
      <c r="Q117" s="95" t="e">
        <f>VLOOKUP(C117,'Member Details (HOF Only)'!$A$2:$U$219,4,FALSE)</f>
        <v>#N/A</v>
      </c>
      <c r="R117" s="13"/>
      <c r="S117" s="95" t="e">
        <f>VLOOKUP(C117,'Member Details (HOF Only)'!$A$2:$U$219,7,FALSE)</f>
        <v>#N/A</v>
      </c>
      <c r="T117" s="11">
        <f t="shared" si="1"/>
        <v>0</v>
      </c>
    </row>
    <row r="118" spans="1:20" x14ac:dyDescent="0.2">
      <c r="A118" s="18"/>
      <c r="B118" s="85"/>
      <c r="C118" s="19"/>
      <c r="D118" s="31"/>
      <c r="E118" s="24"/>
      <c r="F118" s="16"/>
      <c r="G118" s="16"/>
      <c r="H118" s="16"/>
      <c r="I118" s="16"/>
      <c r="J118" s="20"/>
      <c r="K118" s="25"/>
      <c r="L118" s="16"/>
      <c r="M118" s="16"/>
      <c r="N118" s="16"/>
      <c r="O118" s="16" t="str">
        <f>IF(ISNA(VLOOKUP(C118,'Auction Summary'!$P$3:$R$600,2,FALSE)),"",VLOOKUP(C118,'Auction Summary'!$P$3:$R$600,2,FALSE))</f>
        <v/>
      </c>
      <c r="P118" s="16"/>
      <c r="Q118" s="95" t="e">
        <f>VLOOKUP(C118,'Member Details (HOF Only)'!$A$2:$U$219,4,FALSE)</f>
        <v>#N/A</v>
      </c>
      <c r="R118" s="13"/>
      <c r="S118" s="95" t="e">
        <f>VLOOKUP(C118,'Member Details (HOF Only)'!$A$2:$U$219,7,FALSE)</f>
        <v>#N/A</v>
      </c>
      <c r="T118" s="11">
        <f t="shared" si="1"/>
        <v>0</v>
      </c>
    </row>
    <row r="119" spans="1:20" x14ac:dyDescent="0.2">
      <c r="A119" s="18"/>
      <c r="B119" s="85"/>
      <c r="C119" s="19"/>
      <c r="D119" s="31"/>
      <c r="E119" s="24"/>
      <c r="F119" s="16"/>
      <c r="G119" s="16"/>
      <c r="H119" s="16"/>
      <c r="I119" s="16"/>
      <c r="J119" s="20"/>
      <c r="K119" s="25"/>
      <c r="L119" s="16"/>
      <c r="M119" s="16"/>
      <c r="N119" s="16"/>
      <c r="O119" s="16" t="str">
        <f>IF(ISNA(VLOOKUP(C119,'Auction Summary'!$P$3:$R$600,2,FALSE)),"",VLOOKUP(C119,'Auction Summary'!$P$3:$R$600,2,FALSE))</f>
        <v/>
      </c>
      <c r="P119" s="16"/>
      <c r="Q119" s="95" t="e">
        <f>VLOOKUP(C119,'Member Details (HOF Only)'!$A$2:$U$219,4,FALSE)</f>
        <v>#N/A</v>
      </c>
      <c r="R119" s="13"/>
      <c r="S119" s="95" t="e">
        <f>VLOOKUP(C119,'Member Details (HOF Only)'!$A$2:$U$219,7,FALSE)</f>
        <v>#N/A</v>
      </c>
      <c r="T119" s="11">
        <f t="shared" si="1"/>
        <v>0</v>
      </c>
    </row>
    <row r="120" spans="1:20" x14ac:dyDescent="0.2">
      <c r="A120" s="18"/>
      <c r="B120" s="85"/>
      <c r="C120" s="19"/>
      <c r="D120" s="31"/>
      <c r="E120" s="24"/>
      <c r="F120" s="16"/>
      <c r="G120" s="16"/>
      <c r="H120" s="16"/>
      <c r="I120" s="16"/>
      <c r="J120" s="20"/>
      <c r="K120" s="25"/>
      <c r="L120" s="16"/>
      <c r="M120" s="16"/>
      <c r="N120" s="16"/>
      <c r="O120" s="16" t="str">
        <f>IF(ISNA(VLOOKUP(C120,'Auction Summary'!$P$3:$R$600,2,FALSE)),"",VLOOKUP(C120,'Auction Summary'!$P$3:$R$600,2,FALSE))</f>
        <v/>
      </c>
      <c r="P120" s="16"/>
      <c r="Q120" s="95" t="e">
        <f>VLOOKUP(C120,'Member Details (HOF Only)'!$A$2:$U$219,4,FALSE)</f>
        <v>#N/A</v>
      </c>
      <c r="R120" s="13"/>
      <c r="S120" s="95" t="e">
        <f>VLOOKUP(C120,'Member Details (HOF Only)'!$A$2:$U$219,7,FALSE)</f>
        <v>#N/A</v>
      </c>
      <c r="T120" s="11">
        <f t="shared" si="1"/>
        <v>0</v>
      </c>
    </row>
    <row r="121" spans="1:20" x14ac:dyDescent="0.2">
      <c r="A121" s="18"/>
      <c r="B121" s="85"/>
      <c r="C121" s="19"/>
      <c r="D121" s="31"/>
      <c r="E121" s="24"/>
      <c r="F121" s="16"/>
      <c r="G121" s="16"/>
      <c r="H121" s="16"/>
      <c r="I121" s="16"/>
      <c r="J121" s="20"/>
      <c r="K121" s="25"/>
      <c r="L121" s="16"/>
      <c r="M121" s="16"/>
      <c r="N121" s="16"/>
      <c r="O121" s="16" t="str">
        <f>IF(ISNA(VLOOKUP(C121,'Auction Summary'!$P$3:$R$600,2,FALSE)),"",VLOOKUP(C121,'Auction Summary'!$P$3:$R$600,2,FALSE))</f>
        <v/>
      </c>
      <c r="P121" s="16"/>
      <c r="Q121" s="95" t="e">
        <f>VLOOKUP(C121,'Member Details (HOF Only)'!$A$2:$U$219,4,FALSE)</f>
        <v>#N/A</v>
      </c>
      <c r="R121" s="13"/>
      <c r="S121" s="95" t="e">
        <f>VLOOKUP(C121,'Member Details (HOF Only)'!$A$2:$U$219,7,FALSE)</f>
        <v>#N/A</v>
      </c>
      <c r="T121" s="11">
        <f t="shared" si="1"/>
        <v>0</v>
      </c>
    </row>
    <row r="122" spans="1:20" x14ac:dyDescent="0.2">
      <c r="A122" s="18"/>
      <c r="B122" s="85"/>
      <c r="C122" s="19"/>
      <c r="D122" s="31"/>
      <c r="E122" s="24"/>
      <c r="F122" s="16"/>
      <c r="G122" s="16"/>
      <c r="H122" s="16"/>
      <c r="I122" s="16"/>
      <c r="J122" s="20"/>
      <c r="K122" s="25"/>
      <c r="L122" s="16"/>
      <c r="M122" s="16"/>
      <c r="N122" s="16"/>
      <c r="O122" s="16" t="str">
        <f>IF(ISNA(VLOOKUP(C122,'Auction Summary'!$P$3:$R$600,2,FALSE)),"",VLOOKUP(C122,'Auction Summary'!$P$3:$R$600,2,FALSE))</f>
        <v/>
      </c>
      <c r="P122" s="16"/>
      <c r="Q122" s="95" t="e">
        <f>VLOOKUP(C122,'Member Details (HOF Only)'!$A$2:$U$219,4,FALSE)</f>
        <v>#N/A</v>
      </c>
      <c r="R122" s="13"/>
      <c r="S122" s="95" t="e">
        <f>VLOOKUP(C122,'Member Details (HOF Only)'!$A$2:$U$219,7,FALSE)</f>
        <v>#N/A</v>
      </c>
      <c r="T122" s="11">
        <f t="shared" si="1"/>
        <v>0</v>
      </c>
    </row>
    <row r="123" spans="1:20" x14ac:dyDescent="0.2">
      <c r="A123" s="18"/>
      <c r="B123" s="85"/>
      <c r="C123" s="19"/>
      <c r="D123" s="31"/>
      <c r="E123" s="24"/>
      <c r="F123" s="16"/>
      <c r="G123" s="16"/>
      <c r="H123" s="16"/>
      <c r="I123" s="16"/>
      <c r="J123" s="20"/>
      <c r="K123" s="25"/>
      <c r="L123" s="16"/>
      <c r="M123" s="16"/>
      <c r="N123" s="16"/>
      <c r="O123" s="16" t="str">
        <f>IF(ISNA(VLOOKUP(C123,'Auction Summary'!$P$3:$R$600,2,FALSE)),"",VLOOKUP(C123,'Auction Summary'!$P$3:$R$600,2,FALSE))</f>
        <v/>
      </c>
      <c r="P123" s="16"/>
      <c r="Q123" s="95" t="e">
        <f>VLOOKUP(C123,'Member Details (HOF Only)'!$A$2:$U$219,4,FALSE)</f>
        <v>#N/A</v>
      </c>
      <c r="R123" s="13"/>
      <c r="S123" s="95" t="e">
        <f>VLOOKUP(C123,'Member Details (HOF Only)'!$A$2:$U$219,7,FALSE)</f>
        <v>#N/A</v>
      </c>
      <c r="T123" s="11">
        <f t="shared" si="1"/>
        <v>0</v>
      </c>
    </row>
    <row r="124" spans="1:20" x14ac:dyDescent="0.2">
      <c r="A124" s="18"/>
      <c r="B124" s="85"/>
      <c r="C124" s="19"/>
      <c r="D124" s="31"/>
      <c r="E124" s="24"/>
      <c r="F124" s="16"/>
      <c r="G124" s="16"/>
      <c r="H124" s="16"/>
      <c r="I124" s="16"/>
      <c r="J124" s="20"/>
      <c r="K124" s="25"/>
      <c r="L124" s="16"/>
      <c r="M124" s="16"/>
      <c r="N124" s="16"/>
      <c r="O124" s="16" t="str">
        <f>IF(ISNA(VLOOKUP(C124,'Auction Summary'!$P$3:$R$600,2,FALSE)),"",VLOOKUP(C124,'Auction Summary'!$P$3:$R$600,2,FALSE))</f>
        <v/>
      </c>
      <c r="P124" s="16"/>
      <c r="Q124" s="95" t="e">
        <f>VLOOKUP(C124,'Member Details (HOF Only)'!$A$2:$U$219,4,FALSE)</f>
        <v>#N/A</v>
      </c>
      <c r="R124" s="13"/>
      <c r="S124" s="95" t="e">
        <f>VLOOKUP(C124,'Member Details (HOF Only)'!$A$2:$U$219,7,FALSE)</f>
        <v>#N/A</v>
      </c>
      <c r="T124" s="11">
        <f t="shared" si="1"/>
        <v>0</v>
      </c>
    </row>
    <row r="125" spans="1:20" x14ac:dyDescent="0.2">
      <c r="A125" s="18"/>
      <c r="B125" s="85"/>
      <c r="C125" s="19"/>
      <c r="D125" s="31"/>
      <c r="E125" s="24"/>
      <c r="F125" s="16"/>
      <c r="G125" s="16"/>
      <c r="H125" s="16"/>
      <c r="I125" s="16"/>
      <c r="J125" s="20"/>
      <c r="K125" s="25"/>
      <c r="L125" s="16"/>
      <c r="M125" s="16"/>
      <c r="N125" s="16"/>
      <c r="O125" s="16" t="str">
        <f>IF(ISNA(VLOOKUP(C125,'Auction Summary'!$P$3:$R$600,2,FALSE)),"",VLOOKUP(C125,'Auction Summary'!$P$3:$R$600,2,FALSE))</f>
        <v/>
      </c>
      <c r="P125" s="16"/>
      <c r="Q125" s="95" t="e">
        <f>VLOOKUP(C125,'Member Details (HOF Only)'!$A$2:$U$219,4,FALSE)</f>
        <v>#N/A</v>
      </c>
      <c r="R125" s="13"/>
      <c r="S125" s="95" t="e">
        <f>VLOOKUP(C125,'Member Details (HOF Only)'!$A$2:$U$219,7,FALSE)</f>
        <v>#N/A</v>
      </c>
      <c r="T125" s="11">
        <f t="shared" si="1"/>
        <v>0</v>
      </c>
    </row>
    <row r="126" spans="1:20" x14ac:dyDescent="0.2">
      <c r="A126" s="18"/>
      <c r="B126" s="85"/>
      <c r="C126" s="19"/>
      <c r="D126" s="31"/>
      <c r="E126" s="24"/>
      <c r="F126" s="16"/>
      <c r="G126" s="16"/>
      <c r="H126" s="16"/>
      <c r="I126" s="16"/>
      <c r="J126" s="20"/>
      <c r="K126" s="25"/>
      <c r="L126" s="16"/>
      <c r="M126" s="16"/>
      <c r="N126" s="16"/>
      <c r="O126" s="16" t="str">
        <f>IF(ISNA(VLOOKUP(C126,'Auction Summary'!$P$3:$R$600,2,FALSE)),"",VLOOKUP(C126,'Auction Summary'!$P$3:$R$600,2,FALSE))</f>
        <v/>
      </c>
      <c r="P126" s="16"/>
      <c r="Q126" s="95" t="e">
        <f>VLOOKUP(C126,'Member Details (HOF Only)'!$A$2:$U$219,4,FALSE)</f>
        <v>#N/A</v>
      </c>
      <c r="R126" s="13"/>
      <c r="S126" s="95" t="e">
        <f>VLOOKUP(C126,'Member Details (HOF Only)'!$A$2:$U$219,7,FALSE)</f>
        <v>#N/A</v>
      </c>
      <c r="T126" s="11">
        <f t="shared" si="1"/>
        <v>0</v>
      </c>
    </row>
    <row r="127" spans="1:20" x14ac:dyDescent="0.2">
      <c r="A127" s="18"/>
      <c r="B127" s="85"/>
      <c r="C127" s="19"/>
      <c r="D127" s="31"/>
      <c r="E127" s="24"/>
      <c r="F127" s="16"/>
      <c r="G127" s="16"/>
      <c r="H127" s="16"/>
      <c r="I127" s="16"/>
      <c r="J127" s="20"/>
      <c r="K127" s="25"/>
      <c r="L127" s="16"/>
      <c r="M127" s="16"/>
      <c r="N127" s="16"/>
      <c r="O127" s="16" t="str">
        <f>IF(ISNA(VLOOKUP(C127,'Auction Summary'!$P$3:$R$600,2,FALSE)),"",VLOOKUP(C127,'Auction Summary'!$P$3:$R$600,2,FALSE))</f>
        <v/>
      </c>
      <c r="P127" s="16"/>
      <c r="Q127" s="95" t="e">
        <f>VLOOKUP(C127,'Member Details (HOF Only)'!$A$2:$U$219,4,FALSE)</f>
        <v>#N/A</v>
      </c>
      <c r="R127" s="13"/>
      <c r="S127" s="95" t="e">
        <f>VLOOKUP(C127,'Member Details (HOF Only)'!$A$2:$U$219,7,FALSE)</f>
        <v>#N/A</v>
      </c>
      <c r="T127" s="11">
        <f t="shared" si="1"/>
        <v>0</v>
      </c>
    </row>
    <row r="128" spans="1:20" x14ac:dyDescent="0.2">
      <c r="A128" s="18"/>
      <c r="B128" s="85"/>
      <c r="C128" s="19"/>
      <c r="D128" s="31"/>
      <c r="E128" s="24"/>
      <c r="F128" s="16"/>
      <c r="G128" s="16"/>
      <c r="H128" s="16"/>
      <c r="I128" s="16"/>
      <c r="J128" s="20"/>
      <c r="K128" s="25"/>
      <c r="L128" s="16"/>
      <c r="M128" s="16"/>
      <c r="N128" s="16"/>
      <c r="O128" s="16" t="str">
        <f>IF(ISNA(VLOOKUP(C128,'Auction Summary'!$P$3:$R$600,2,FALSE)),"",VLOOKUP(C128,'Auction Summary'!$P$3:$R$600,2,FALSE))</f>
        <v/>
      </c>
      <c r="P128" s="16"/>
      <c r="Q128" s="95" t="e">
        <f>VLOOKUP(C128,'Member Details (HOF Only)'!$A$2:$U$219,4,FALSE)</f>
        <v>#N/A</v>
      </c>
      <c r="R128" s="13"/>
      <c r="S128" s="95" t="e">
        <f>VLOOKUP(C128,'Member Details (HOF Only)'!$A$2:$U$219,7,FALSE)</f>
        <v>#N/A</v>
      </c>
      <c r="T128" s="11">
        <f t="shared" si="1"/>
        <v>0</v>
      </c>
    </row>
    <row r="129" spans="1:20" x14ac:dyDescent="0.2">
      <c r="A129" s="18"/>
      <c r="B129" s="85"/>
      <c r="C129" s="19"/>
      <c r="D129" s="31"/>
      <c r="E129" s="24"/>
      <c r="F129" s="16"/>
      <c r="G129" s="16"/>
      <c r="H129" s="16"/>
      <c r="I129" s="16"/>
      <c r="J129" s="20"/>
      <c r="K129" s="25"/>
      <c r="L129" s="16"/>
      <c r="M129" s="16"/>
      <c r="N129" s="16"/>
      <c r="O129" s="16" t="str">
        <f>IF(ISNA(VLOOKUP(C129,'Auction Summary'!$P$3:$R$600,2,FALSE)),"",VLOOKUP(C129,'Auction Summary'!$P$3:$R$600,2,FALSE))</f>
        <v/>
      </c>
      <c r="P129" s="16"/>
      <c r="Q129" s="95" t="e">
        <f>VLOOKUP(C129,'Member Details (HOF Only)'!$A$2:$U$219,4,FALSE)</f>
        <v>#N/A</v>
      </c>
      <c r="R129" s="13"/>
      <c r="S129" s="95" t="e">
        <f>VLOOKUP(C129,'Member Details (HOF Only)'!$A$2:$U$219,7,FALSE)</f>
        <v>#N/A</v>
      </c>
      <c r="T129" s="11">
        <f t="shared" si="1"/>
        <v>0</v>
      </c>
    </row>
    <row r="130" spans="1:20" x14ac:dyDescent="0.2">
      <c r="A130" s="18"/>
      <c r="B130" s="85"/>
      <c r="C130" s="19"/>
      <c r="D130" s="31"/>
      <c r="E130" s="24"/>
      <c r="F130" s="16"/>
      <c r="G130" s="16"/>
      <c r="H130" s="16"/>
      <c r="I130" s="16"/>
      <c r="J130" s="20"/>
      <c r="K130" s="25"/>
      <c r="L130" s="16"/>
      <c r="M130" s="16"/>
      <c r="N130" s="16"/>
      <c r="O130" s="16" t="str">
        <f>IF(ISNA(VLOOKUP(C130,'Auction Summary'!$P$3:$R$600,2,FALSE)),"",VLOOKUP(C130,'Auction Summary'!$P$3:$R$600,2,FALSE))</f>
        <v/>
      </c>
      <c r="P130" s="16"/>
      <c r="Q130" s="95" t="e">
        <f>VLOOKUP(C130,'Member Details (HOF Only)'!$A$2:$U$219,4,FALSE)</f>
        <v>#N/A</v>
      </c>
      <c r="R130" s="13"/>
      <c r="S130" s="95" t="e">
        <f>VLOOKUP(C130,'Member Details (HOF Only)'!$A$2:$U$219,7,FALSE)</f>
        <v>#N/A</v>
      </c>
      <c r="T130" s="11">
        <f t="shared" si="1"/>
        <v>0</v>
      </c>
    </row>
    <row r="131" spans="1:20" x14ac:dyDescent="0.2">
      <c r="A131" s="18"/>
      <c r="B131" s="85"/>
      <c r="C131" s="19"/>
      <c r="D131" s="31"/>
      <c r="E131" s="24"/>
      <c r="F131" s="16"/>
      <c r="G131" s="16"/>
      <c r="H131" s="16"/>
      <c r="I131" s="16"/>
      <c r="J131" s="20"/>
      <c r="K131" s="25"/>
      <c r="L131" s="16"/>
      <c r="M131" s="16"/>
      <c r="N131" s="16"/>
      <c r="O131" s="16" t="str">
        <f>IF(ISNA(VLOOKUP(C131,'Auction Summary'!$P$3:$R$600,2,FALSE)),"",VLOOKUP(C131,'Auction Summary'!$P$3:$R$600,2,FALSE))</f>
        <v/>
      </c>
      <c r="P131" s="16"/>
      <c r="Q131" s="95" t="e">
        <f>VLOOKUP(C131,'Member Details (HOF Only)'!$A$2:$U$219,4,FALSE)</f>
        <v>#N/A</v>
      </c>
      <c r="R131" s="13"/>
      <c r="S131" s="95" t="e">
        <f>VLOOKUP(C131,'Member Details (HOF Only)'!$A$2:$U$219,7,FALSE)</f>
        <v>#N/A</v>
      </c>
      <c r="T131" s="11">
        <f t="shared" ref="T131:T194" si="2">T130+D131</f>
        <v>0</v>
      </c>
    </row>
    <row r="132" spans="1:20" x14ac:dyDescent="0.2">
      <c r="A132" s="18"/>
      <c r="B132" s="85"/>
      <c r="C132" s="19"/>
      <c r="D132" s="31"/>
      <c r="E132" s="24"/>
      <c r="F132" s="16"/>
      <c r="G132" s="16"/>
      <c r="H132" s="16"/>
      <c r="I132" s="16"/>
      <c r="J132" s="20"/>
      <c r="K132" s="25"/>
      <c r="L132" s="16"/>
      <c r="M132" s="16"/>
      <c r="N132" s="16"/>
      <c r="O132" s="16" t="str">
        <f>IF(ISNA(VLOOKUP(C132,'Auction Summary'!$P$3:$R$600,2,FALSE)),"",VLOOKUP(C132,'Auction Summary'!$P$3:$R$600,2,FALSE))</f>
        <v/>
      </c>
      <c r="P132" s="16"/>
      <c r="Q132" s="95" t="e">
        <f>VLOOKUP(C132,'Member Details (HOF Only)'!$A$2:$U$219,4,FALSE)</f>
        <v>#N/A</v>
      </c>
      <c r="R132" s="13"/>
      <c r="S132" s="95" t="e">
        <f>VLOOKUP(C132,'Member Details (HOF Only)'!$A$2:$U$219,7,FALSE)</f>
        <v>#N/A</v>
      </c>
      <c r="T132" s="11">
        <f t="shared" si="2"/>
        <v>0</v>
      </c>
    </row>
    <row r="133" spans="1:20" x14ac:dyDescent="0.2">
      <c r="A133" s="18"/>
      <c r="B133" s="85"/>
      <c r="C133" s="19"/>
      <c r="D133" s="31"/>
      <c r="E133" s="24"/>
      <c r="F133" s="16"/>
      <c r="G133" s="16"/>
      <c r="H133" s="16"/>
      <c r="I133" s="16"/>
      <c r="J133" s="20"/>
      <c r="K133" s="25"/>
      <c r="L133" s="16"/>
      <c r="M133" s="16"/>
      <c r="N133" s="16"/>
      <c r="O133" s="16" t="str">
        <f>IF(ISNA(VLOOKUP(C133,'Auction Summary'!$P$3:$R$600,2,FALSE)),"",VLOOKUP(C133,'Auction Summary'!$P$3:$R$600,2,FALSE))</f>
        <v/>
      </c>
      <c r="P133" s="16"/>
      <c r="Q133" s="95" t="e">
        <f>VLOOKUP(C133,'Member Details (HOF Only)'!$A$2:$U$219,4,FALSE)</f>
        <v>#N/A</v>
      </c>
      <c r="R133" s="13"/>
      <c r="S133" s="95" t="e">
        <f>VLOOKUP(C133,'Member Details (HOF Only)'!$A$2:$U$219,7,FALSE)</f>
        <v>#N/A</v>
      </c>
      <c r="T133" s="11">
        <f t="shared" si="2"/>
        <v>0</v>
      </c>
    </row>
    <row r="134" spans="1:20" x14ac:dyDescent="0.2">
      <c r="A134" s="18"/>
      <c r="B134" s="85"/>
      <c r="C134" s="19"/>
      <c r="D134" s="31"/>
      <c r="E134" s="24"/>
      <c r="F134" s="16"/>
      <c r="G134" s="16"/>
      <c r="H134" s="16"/>
      <c r="I134" s="16"/>
      <c r="J134" s="20"/>
      <c r="K134" s="25"/>
      <c r="L134" s="16"/>
      <c r="M134" s="16"/>
      <c r="N134" s="16"/>
      <c r="O134" s="16" t="str">
        <f>IF(ISNA(VLOOKUP(C134,'Auction Summary'!$P$3:$R$600,2,FALSE)),"",VLOOKUP(C134,'Auction Summary'!$P$3:$R$600,2,FALSE))</f>
        <v/>
      </c>
      <c r="P134" s="16"/>
      <c r="Q134" s="95" t="e">
        <f>VLOOKUP(C134,'Member Details (HOF Only)'!$A$2:$U$219,4,FALSE)</f>
        <v>#N/A</v>
      </c>
      <c r="R134" s="13"/>
      <c r="S134" s="95" t="e">
        <f>VLOOKUP(C134,'Member Details (HOF Only)'!$A$2:$U$219,7,FALSE)</f>
        <v>#N/A</v>
      </c>
      <c r="T134" s="11">
        <f t="shared" si="2"/>
        <v>0</v>
      </c>
    </row>
    <row r="135" spans="1:20" x14ac:dyDescent="0.2">
      <c r="A135" s="18"/>
      <c r="B135" s="85"/>
      <c r="C135" s="19"/>
      <c r="D135" s="31"/>
      <c r="E135" s="24"/>
      <c r="F135" s="16"/>
      <c r="G135" s="16"/>
      <c r="H135" s="16"/>
      <c r="I135" s="16"/>
      <c r="J135" s="20"/>
      <c r="K135" s="25"/>
      <c r="L135" s="16"/>
      <c r="M135" s="16"/>
      <c r="N135" s="16"/>
      <c r="O135" s="16" t="str">
        <f>IF(ISNA(VLOOKUP(C135,'Auction Summary'!$P$3:$R$600,2,FALSE)),"",VLOOKUP(C135,'Auction Summary'!$P$3:$R$600,2,FALSE))</f>
        <v/>
      </c>
      <c r="P135" s="16"/>
      <c r="Q135" s="95" t="e">
        <f>VLOOKUP(C135,'Member Details (HOF Only)'!$A$2:$U$219,4,FALSE)</f>
        <v>#N/A</v>
      </c>
      <c r="R135" s="13"/>
      <c r="S135" s="95" t="e">
        <f>VLOOKUP(C135,'Member Details (HOF Only)'!$A$2:$U$219,7,FALSE)</f>
        <v>#N/A</v>
      </c>
      <c r="T135" s="11">
        <f t="shared" si="2"/>
        <v>0</v>
      </c>
    </row>
    <row r="136" spans="1:20" x14ac:dyDescent="0.2">
      <c r="A136" s="18"/>
      <c r="B136" s="85"/>
      <c r="C136" s="19"/>
      <c r="D136" s="31"/>
      <c r="E136" s="24"/>
      <c r="F136" s="16"/>
      <c r="G136" s="16"/>
      <c r="H136" s="16"/>
      <c r="I136" s="16"/>
      <c r="J136" s="20"/>
      <c r="K136" s="25"/>
      <c r="L136" s="16"/>
      <c r="M136" s="16"/>
      <c r="N136" s="16"/>
      <c r="O136" s="16" t="str">
        <f>IF(ISNA(VLOOKUP(C136,'Auction Summary'!$P$3:$R$600,2,FALSE)),"",VLOOKUP(C136,'Auction Summary'!$P$3:$R$600,2,FALSE))</f>
        <v/>
      </c>
      <c r="P136" s="16"/>
      <c r="Q136" s="95" t="e">
        <f>VLOOKUP(C136,'Member Details (HOF Only)'!$A$2:$U$219,4,FALSE)</f>
        <v>#N/A</v>
      </c>
      <c r="R136" s="13"/>
      <c r="S136" s="95" t="e">
        <f>VLOOKUP(C136,'Member Details (HOF Only)'!$A$2:$U$219,7,FALSE)</f>
        <v>#N/A</v>
      </c>
      <c r="T136" s="11">
        <f t="shared" si="2"/>
        <v>0</v>
      </c>
    </row>
    <row r="137" spans="1:20" x14ac:dyDescent="0.2">
      <c r="A137" s="18"/>
      <c r="B137" s="85"/>
      <c r="C137" s="19"/>
      <c r="D137" s="31"/>
      <c r="E137" s="24"/>
      <c r="F137" s="16"/>
      <c r="G137" s="16"/>
      <c r="H137" s="16"/>
      <c r="I137" s="16"/>
      <c r="J137" s="20"/>
      <c r="K137" s="25"/>
      <c r="L137" s="16"/>
      <c r="M137" s="16"/>
      <c r="N137" s="16"/>
      <c r="O137" s="16" t="str">
        <f>IF(ISNA(VLOOKUP(C137,'Auction Summary'!$P$3:$R$600,2,FALSE)),"",VLOOKUP(C137,'Auction Summary'!$P$3:$R$600,2,FALSE))</f>
        <v/>
      </c>
      <c r="P137" s="16"/>
      <c r="Q137" s="95" t="e">
        <f>VLOOKUP(C137,'Member Details (HOF Only)'!$A$2:$U$219,4,FALSE)</f>
        <v>#N/A</v>
      </c>
      <c r="R137" s="13"/>
      <c r="S137" s="95" t="e">
        <f>VLOOKUP(C137,'Member Details (HOF Only)'!$A$2:$U$219,7,FALSE)</f>
        <v>#N/A</v>
      </c>
      <c r="T137" s="11">
        <f t="shared" si="2"/>
        <v>0</v>
      </c>
    </row>
    <row r="138" spans="1:20" x14ac:dyDescent="0.2">
      <c r="A138" s="18"/>
      <c r="B138" s="85"/>
      <c r="C138" s="19"/>
      <c r="D138" s="31"/>
      <c r="E138" s="24"/>
      <c r="F138" s="16"/>
      <c r="G138" s="16"/>
      <c r="H138" s="16"/>
      <c r="I138" s="16"/>
      <c r="J138" s="20"/>
      <c r="K138" s="25"/>
      <c r="L138" s="16"/>
      <c r="M138" s="16"/>
      <c r="N138" s="16"/>
      <c r="O138" s="16" t="str">
        <f>IF(ISNA(VLOOKUP(C138,'Auction Summary'!$P$3:$R$600,2,FALSE)),"",VLOOKUP(C138,'Auction Summary'!$P$3:$R$600,2,FALSE))</f>
        <v/>
      </c>
      <c r="P138" s="16"/>
      <c r="Q138" s="95" t="e">
        <f>VLOOKUP(C138,'Member Details (HOF Only)'!$A$2:$U$219,4,FALSE)</f>
        <v>#N/A</v>
      </c>
      <c r="R138" s="13"/>
      <c r="S138" s="95" t="e">
        <f>VLOOKUP(C138,'Member Details (HOF Only)'!$A$2:$U$219,7,FALSE)</f>
        <v>#N/A</v>
      </c>
      <c r="T138" s="11">
        <f t="shared" si="2"/>
        <v>0</v>
      </c>
    </row>
    <row r="139" spans="1:20" x14ac:dyDescent="0.2">
      <c r="A139" s="18"/>
      <c r="B139" s="85"/>
      <c r="C139" s="19"/>
      <c r="D139" s="31"/>
      <c r="E139" s="24"/>
      <c r="F139" s="16"/>
      <c r="G139" s="16"/>
      <c r="H139" s="16"/>
      <c r="I139" s="16"/>
      <c r="J139" s="20"/>
      <c r="K139" s="25"/>
      <c r="L139" s="16"/>
      <c r="M139" s="16"/>
      <c r="N139" s="16"/>
      <c r="O139" s="16" t="str">
        <f>IF(ISNA(VLOOKUP(C139,'Auction Summary'!$P$3:$R$600,2,FALSE)),"",VLOOKUP(C139,'Auction Summary'!$P$3:$R$600,2,FALSE))</f>
        <v/>
      </c>
      <c r="P139" s="16"/>
      <c r="Q139" s="95" t="e">
        <f>VLOOKUP(C139,'Member Details (HOF Only)'!$A$2:$U$219,4,FALSE)</f>
        <v>#N/A</v>
      </c>
      <c r="R139" s="13"/>
      <c r="S139" s="95" t="e">
        <f>VLOOKUP(C139,'Member Details (HOF Only)'!$A$2:$U$219,7,FALSE)</f>
        <v>#N/A</v>
      </c>
      <c r="T139" s="11">
        <f t="shared" si="2"/>
        <v>0</v>
      </c>
    </row>
    <row r="140" spans="1:20" x14ac:dyDescent="0.2">
      <c r="A140" s="18"/>
      <c r="B140" s="85"/>
      <c r="C140" s="19"/>
      <c r="D140" s="31"/>
      <c r="E140" s="24"/>
      <c r="F140" s="16"/>
      <c r="G140" s="16"/>
      <c r="H140" s="16"/>
      <c r="I140" s="16"/>
      <c r="J140" s="20"/>
      <c r="K140" s="25"/>
      <c r="L140" s="16"/>
      <c r="M140" s="16"/>
      <c r="N140" s="16"/>
      <c r="O140" s="16" t="str">
        <f>IF(ISNA(VLOOKUP(C140,'Auction Summary'!$P$3:$R$600,2,FALSE)),"",VLOOKUP(C140,'Auction Summary'!$P$3:$R$600,2,FALSE))</f>
        <v/>
      </c>
      <c r="P140" s="16"/>
      <c r="Q140" s="95" t="e">
        <f>VLOOKUP(C140,'Member Details (HOF Only)'!$A$2:$U$219,4,FALSE)</f>
        <v>#N/A</v>
      </c>
      <c r="R140" s="13"/>
      <c r="S140" s="95" t="e">
        <f>VLOOKUP(C140,'Member Details (HOF Only)'!$A$2:$U$219,7,FALSE)</f>
        <v>#N/A</v>
      </c>
      <c r="T140" s="11">
        <f t="shared" si="2"/>
        <v>0</v>
      </c>
    </row>
    <row r="141" spans="1:20" x14ac:dyDescent="0.2">
      <c r="A141" s="18"/>
      <c r="B141" s="85"/>
      <c r="C141" s="19"/>
      <c r="D141" s="31"/>
      <c r="E141" s="24"/>
      <c r="F141" s="16"/>
      <c r="G141" s="16"/>
      <c r="H141" s="16"/>
      <c r="I141" s="16"/>
      <c r="J141" s="20"/>
      <c r="K141" s="25"/>
      <c r="L141" s="16"/>
      <c r="M141" s="16"/>
      <c r="N141" s="16"/>
      <c r="O141" s="16" t="str">
        <f>IF(ISNA(VLOOKUP(C141,'Auction Summary'!$P$3:$R$600,2,FALSE)),"",VLOOKUP(C141,'Auction Summary'!$P$3:$R$600,2,FALSE))</f>
        <v/>
      </c>
      <c r="P141" s="16"/>
      <c r="Q141" s="95" t="e">
        <f>VLOOKUP(C141,'Member Details (HOF Only)'!$A$2:$U$219,4,FALSE)</f>
        <v>#N/A</v>
      </c>
      <c r="R141" s="13"/>
      <c r="S141" s="95" t="e">
        <f>VLOOKUP(C141,'Member Details (HOF Only)'!$A$2:$U$219,7,FALSE)</f>
        <v>#N/A</v>
      </c>
      <c r="T141" s="11">
        <f t="shared" si="2"/>
        <v>0</v>
      </c>
    </row>
    <row r="142" spans="1:20" x14ac:dyDescent="0.2">
      <c r="A142" s="18"/>
      <c r="B142" s="85"/>
      <c r="C142" s="19"/>
      <c r="D142" s="31"/>
      <c r="E142" s="24"/>
      <c r="F142" s="16"/>
      <c r="G142" s="16"/>
      <c r="H142" s="16"/>
      <c r="I142" s="16"/>
      <c r="J142" s="20"/>
      <c r="K142" s="25"/>
      <c r="L142" s="16"/>
      <c r="M142" s="16"/>
      <c r="N142" s="16"/>
      <c r="O142" s="16" t="str">
        <f>IF(ISNA(VLOOKUP(C142,'Auction Summary'!$P$3:$R$600,2,FALSE)),"",VLOOKUP(C142,'Auction Summary'!$P$3:$R$600,2,FALSE))</f>
        <v/>
      </c>
      <c r="P142" s="16"/>
      <c r="Q142" s="95" t="e">
        <f>VLOOKUP(C142,'Member Details (HOF Only)'!$A$2:$U$219,4,FALSE)</f>
        <v>#N/A</v>
      </c>
      <c r="R142" s="13"/>
      <c r="S142" s="95" t="e">
        <f>VLOOKUP(C142,'Member Details (HOF Only)'!$A$2:$U$219,7,FALSE)</f>
        <v>#N/A</v>
      </c>
      <c r="T142" s="11">
        <f t="shared" si="2"/>
        <v>0</v>
      </c>
    </row>
    <row r="143" spans="1:20" x14ac:dyDescent="0.2">
      <c r="A143" s="18"/>
      <c r="B143" s="85"/>
      <c r="C143" s="19"/>
      <c r="D143" s="31"/>
      <c r="E143" s="24"/>
      <c r="F143" s="16"/>
      <c r="G143" s="16"/>
      <c r="H143" s="16"/>
      <c r="I143" s="16"/>
      <c r="J143" s="20"/>
      <c r="K143" s="25"/>
      <c r="L143" s="16"/>
      <c r="M143" s="16"/>
      <c r="N143" s="16"/>
      <c r="O143" s="16" t="str">
        <f>IF(ISNA(VLOOKUP(C143,'Auction Summary'!$P$3:$R$600,2,FALSE)),"",VLOOKUP(C143,'Auction Summary'!$P$3:$R$600,2,FALSE))</f>
        <v/>
      </c>
      <c r="P143" s="16"/>
      <c r="Q143" s="95" t="e">
        <f>VLOOKUP(C143,'Member Details (HOF Only)'!$A$2:$U$219,4,FALSE)</f>
        <v>#N/A</v>
      </c>
      <c r="R143" s="13"/>
      <c r="S143" s="95" t="e">
        <f>VLOOKUP(C143,'Member Details (HOF Only)'!$A$2:$U$219,7,FALSE)</f>
        <v>#N/A</v>
      </c>
      <c r="T143" s="11">
        <f t="shared" si="2"/>
        <v>0</v>
      </c>
    </row>
    <row r="144" spans="1:20" x14ac:dyDescent="0.2">
      <c r="A144" s="18"/>
      <c r="B144" s="85"/>
      <c r="C144" s="19"/>
      <c r="D144" s="31"/>
      <c r="E144" s="24"/>
      <c r="F144" s="16"/>
      <c r="G144" s="16"/>
      <c r="H144" s="16"/>
      <c r="I144" s="16"/>
      <c r="J144" s="20"/>
      <c r="K144" s="25"/>
      <c r="L144" s="16"/>
      <c r="M144" s="16"/>
      <c r="N144" s="16"/>
      <c r="O144" s="16" t="str">
        <f>IF(ISNA(VLOOKUP(C144,'Auction Summary'!$P$3:$R$600,2,FALSE)),"",VLOOKUP(C144,'Auction Summary'!$P$3:$R$600,2,FALSE))</f>
        <v/>
      </c>
      <c r="P144" s="16"/>
      <c r="Q144" s="95" t="e">
        <f>VLOOKUP(C144,'Member Details (HOF Only)'!$A$2:$U$219,4,FALSE)</f>
        <v>#N/A</v>
      </c>
      <c r="R144" s="13"/>
      <c r="S144" s="95" t="e">
        <f>VLOOKUP(C144,'Member Details (HOF Only)'!$A$2:$U$219,7,FALSE)</f>
        <v>#N/A</v>
      </c>
      <c r="T144" s="11">
        <f t="shared" si="2"/>
        <v>0</v>
      </c>
    </row>
    <row r="145" spans="1:20" x14ac:dyDescent="0.2">
      <c r="A145" s="18"/>
      <c r="B145" s="85"/>
      <c r="C145" s="19"/>
      <c r="D145" s="31"/>
      <c r="E145" s="24"/>
      <c r="F145" s="16"/>
      <c r="G145" s="16"/>
      <c r="H145" s="16"/>
      <c r="I145" s="16"/>
      <c r="J145" s="20"/>
      <c r="K145" s="25"/>
      <c r="L145" s="16"/>
      <c r="M145" s="16"/>
      <c r="N145" s="16"/>
      <c r="O145" s="16" t="str">
        <f>IF(ISNA(VLOOKUP(C145,'Auction Summary'!$P$3:$R$600,2,FALSE)),"",VLOOKUP(C145,'Auction Summary'!$P$3:$R$600,2,FALSE))</f>
        <v/>
      </c>
      <c r="P145" s="16"/>
      <c r="Q145" s="95" t="e">
        <f>VLOOKUP(C145,'Member Details (HOF Only)'!$A$2:$U$219,4,FALSE)</f>
        <v>#N/A</v>
      </c>
      <c r="R145" s="13"/>
      <c r="S145" s="95" t="e">
        <f>VLOOKUP(C145,'Member Details (HOF Only)'!$A$2:$U$219,7,FALSE)</f>
        <v>#N/A</v>
      </c>
      <c r="T145" s="11">
        <f t="shared" si="2"/>
        <v>0</v>
      </c>
    </row>
    <row r="146" spans="1:20" x14ac:dyDescent="0.2">
      <c r="A146" s="18"/>
      <c r="B146" s="85"/>
      <c r="C146" s="19"/>
      <c r="D146" s="31"/>
      <c r="E146" s="24"/>
      <c r="F146" s="16"/>
      <c r="G146" s="16"/>
      <c r="H146" s="16"/>
      <c r="I146" s="16"/>
      <c r="J146" s="20"/>
      <c r="K146" s="25"/>
      <c r="L146" s="16"/>
      <c r="M146" s="16"/>
      <c r="N146" s="16"/>
      <c r="O146" s="16" t="str">
        <f>IF(ISNA(VLOOKUP(C146,'Auction Summary'!$P$3:$R$600,2,FALSE)),"",VLOOKUP(C146,'Auction Summary'!$P$3:$R$600,2,FALSE))</f>
        <v/>
      </c>
      <c r="P146" s="16"/>
      <c r="Q146" s="95" t="e">
        <f>VLOOKUP(C146,'Member Details (HOF Only)'!$A$2:$U$219,4,FALSE)</f>
        <v>#N/A</v>
      </c>
      <c r="R146" s="13"/>
      <c r="S146" s="95" t="e">
        <f>VLOOKUP(C146,'Member Details (HOF Only)'!$A$2:$U$219,7,FALSE)</f>
        <v>#N/A</v>
      </c>
      <c r="T146" s="11">
        <f t="shared" si="2"/>
        <v>0</v>
      </c>
    </row>
    <row r="147" spans="1:20" x14ac:dyDescent="0.2">
      <c r="A147" s="18"/>
      <c r="B147" s="85"/>
      <c r="C147" s="19"/>
      <c r="D147" s="31"/>
      <c r="E147" s="24"/>
      <c r="F147" s="16"/>
      <c r="G147" s="16"/>
      <c r="H147" s="16"/>
      <c r="I147" s="16"/>
      <c r="J147" s="20"/>
      <c r="K147" s="25"/>
      <c r="L147" s="16"/>
      <c r="M147" s="16"/>
      <c r="N147" s="16"/>
      <c r="O147" s="16" t="str">
        <f>IF(ISNA(VLOOKUP(C147,'Auction Summary'!$P$3:$R$600,2,FALSE)),"",VLOOKUP(C147,'Auction Summary'!$P$3:$R$600,2,FALSE))</f>
        <v/>
      </c>
      <c r="P147" s="16"/>
      <c r="Q147" s="95" t="e">
        <f>VLOOKUP(C147,'Member Details (HOF Only)'!$A$2:$U$219,4,FALSE)</f>
        <v>#N/A</v>
      </c>
      <c r="R147" s="13"/>
      <c r="S147" s="95" t="e">
        <f>VLOOKUP(C147,'Member Details (HOF Only)'!$A$2:$U$219,7,FALSE)</f>
        <v>#N/A</v>
      </c>
      <c r="T147" s="11">
        <f t="shared" si="2"/>
        <v>0</v>
      </c>
    </row>
    <row r="148" spans="1:20" x14ac:dyDescent="0.2">
      <c r="A148" s="18"/>
      <c r="B148" s="85"/>
      <c r="C148" s="19"/>
      <c r="D148" s="31"/>
      <c r="E148" s="24"/>
      <c r="F148" s="16"/>
      <c r="G148" s="16"/>
      <c r="H148" s="16"/>
      <c r="I148" s="16"/>
      <c r="J148" s="20"/>
      <c r="K148" s="25"/>
      <c r="L148" s="16"/>
      <c r="M148" s="16"/>
      <c r="N148" s="16"/>
      <c r="O148" s="16" t="str">
        <f>IF(ISNA(VLOOKUP(C148,'Auction Summary'!$P$3:$R$600,2,FALSE)),"",VLOOKUP(C148,'Auction Summary'!$P$3:$R$600,2,FALSE))</f>
        <v/>
      </c>
      <c r="P148" s="16"/>
      <c r="Q148" s="95" t="e">
        <f>VLOOKUP(C148,'Member Details (HOF Only)'!$A$2:$U$219,4,FALSE)</f>
        <v>#N/A</v>
      </c>
      <c r="R148" s="13"/>
      <c r="S148" s="95" t="e">
        <f>VLOOKUP(C148,'Member Details (HOF Only)'!$A$2:$U$219,7,FALSE)</f>
        <v>#N/A</v>
      </c>
      <c r="T148" s="11">
        <f t="shared" si="2"/>
        <v>0</v>
      </c>
    </row>
    <row r="149" spans="1:20" x14ac:dyDescent="0.2">
      <c r="A149" s="18"/>
      <c r="B149" s="85"/>
      <c r="C149" s="19"/>
      <c r="D149" s="31"/>
      <c r="E149" s="24"/>
      <c r="F149" s="16"/>
      <c r="G149" s="16"/>
      <c r="H149" s="16"/>
      <c r="I149" s="16"/>
      <c r="J149" s="20"/>
      <c r="K149" s="25"/>
      <c r="L149" s="16"/>
      <c r="M149" s="16"/>
      <c r="N149" s="16"/>
      <c r="O149" s="16" t="str">
        <f>IF(ISNA(VLOOKUP(C149,'Auction Summary'!$P$3:$R$600,2,FALSE)),"",VLOOKUP(C149,'Auction Summary'!$P$3:$R$600,2,FALSE))</f>
        <v/>
      </c>
      <c r="P149" s="16"/>
      <c r="Q149" s="95" t="e">
        <f>VLOOKUP(C149,'Member Details (HOF Only)'!$A$2:$U$219,4,FALSE)</f>
        <v>#N/A</v>
      </c>
      <c r="R149" s="13"/>
      <c r="S149" s="95" t="e">
        <f>VLOOKUP(C149,'Member Details (HOF Only)'!$A$2:$U$219,7,FALSE)</f>
        <v>#N/A</v>
      </c>
      <c r="T149" s="11">
        <f t="shared" si="2"/>
        <v>0</v>
      </c>
    </row>
    <row r="150" spans="1:20" x14ac:dyDescent="0.2">
      <c r="A150" s="18"/>
      <c r="B150" s="85"/>
      <c r="C150" s="19"/>
      <c r="D150" s="31"/>
      <c r="E150" s="24"/>
      <c r="F150" s="16"/>
      <c r="G150" s="16"/>
      <c r="H150" s="16"/>
      <c r="I150" s="16"/>
      <c r="J150" s="20"/>
      <c r="K150" s="25"/>
      <c r="L150" s="16"/>
      <c r="M150" s="16"/>
      <c r="N150" s="16"/>
      <c r="O150" s="16" t="str">
        <f>IF(ISNA(VLOOKUP(C150,'Auction Summary'!$P$3:$R$600,2,FALSE)),"",VLOOKUP(C150,'Auction Summary'!$P$3:$R$600,2,FALSE))</f>
        <v/>
      </c>
      <c r="P150" s="16"/>
      <c r="Q150" s="95" t="e">
        <f>VLOOKUP(C150,'Member Details (HOF Only)'!$A$2:$U$219,4,FALSE)</f>
        <v>#N/A</v>
      </c>
      <c r="R150" s="13"/>
      <c r="S150" s="95" t="e">
        <f>VLOOKUP(C150,'Member Details (HOF Only)'!$A$2:$U$219,7,FALSE)</f>
        <v>#N/A</v>
      </c>
      <c r="T150" s="11">
        <f t="shared" si="2"/>
        <v>0</v>
      </c>
    </row>
    <row r="151" spans="1:20" x14ac:dyDescent="0.2">
      <c r="A151" s="18"/>
      <c r="B151" s="85"/>
      <c r="C151" s="19"/>
      <c r="D151" s="31"/>
      <c r="E151" s="24"/>
      <c r="F151" s="16"/>
      <c r="G151" s="16"/>
      <c r="H151" s="16"/>
      <c r="I151" s="16"/>
      <c r="J151" s="20"/>
      <c r="K151" s="25"/>
      <c r="L151" s="16"/>
      <c r="M151" s="16"/>
      <c r="N151" s="16"/>
      <c r="O151" s="16" t="str">
        <f>IF(ISNA(VLOOKUP(C151,'Auction Summary'!$P$3:$R$600,2,FALSE)),"",VLOOKUP(C151,'Auction Summary'!$P$3:$R$600,2,FALSE))</f>
        <v/>
      </c>
      <c r="P151" s="16"/>
      <c r="Q151" s="95" t="e">
        <f>VLOOKUP(C151,'Member Details (HOF Only)'!$A$2:$U$219,4,FALSE)</f>
        <v>#N/A</v>
      </c>
      <c r="R151" s="13"/>
      <c r="S151" s="95" t="e">
        <f>VLOOKUP(C151,'Member Details (HOF Only)'!$A$2:$U$219,7,FALSE)</f>
        <v>#N/A</v>
      </c>
      <c r="T151" s="11">
        <f t="shared" si="2"/>
        <v>0</v>
      </c>
    </row>
    <row r="152" spans="1:20" x14ac:dyDescent="0.2">
      <c r="A152" s="18"/>
      <c r="B152" s="85"/>
      <c r="C152" s="19"/>
      <c r="D152" s="31"/>
      <c r="E152" s="24"/>
      <c r="F152" s="16"/>
      <c r="G152" s="16"/>
      <c r="H152" s="16"/>
      <c r="I152" s="16"/>
      <c r="J152" s="20"/>
      <c r="K152" s="25"/>
      <c r="L152" s="16"/>
      <c r="M152" s="16"/>
      <c r="N152" s="16"/>
      <c r="O152" s="16" t="str">
        <f>IF(ISNA(VLOOKUP(C152,'Auction Summary'!$P$3:$R$600,2,FALSE)),"",VLOOKUP(C152,'Auction Summary'!$P$3:$R$600,2,FALSE))</f>
        <v/>
      </c>
      <c r="P152" s="16"/>
      <c r="Q152" s="95" t="e">
        <f>VLOOKUP(C152,'Member Details (HOF Only)'!$A$2:$U$219,4,FALSE)</f>
        <v>#N/A</v>
      </c>
      <c r="R152" s="13"/>
      <c r="S152" s="95" t="e">
        <f>VLOOKUP(C152,'Member Details (HOF Only)'!$A$2:$U$219,7,FALSE)</f>
        <v>#N/A</v>
      </c>
      <c r="T152" s="11">
        <f t="shared" si="2"/>
        <v>0</v>
      </c>
    </row>
    <row r="153" spans="1:20" x14ac:dyDescent="0.2">
      <c r="A153" s="18"/>
      <c r="B153" s="85"/>
      <c r="C153" s="19"/>
      <c r="D153" s="31"/>
      <c r="E153" s="24"/>
      <c r="F153" s="16"/>
      <c r="G153" s="16"/>
      <c r="H153" s="16"/>
      <c r="I153" s="16"/>
      <c r="J153" s="20"/>
      <c r="K153" s="25"/>
      <c r="L153" s="16"/>
      <c r="M153" s="16"/>
      <c r="N153" s="16"/>
      <c r="O153" s="16" t="str">
        <f>IF(ISNA(VLOOKUP(C153,'Auction Summary'!$P$3:$R$600,2,FALSE)),"",VLOOKUP(C153,'Auction Summary'!$P$3:$R$600,2,FALSE))</f>
        <v/>
      </c>
      <c r="P153" s="16"/>
      <c r="Q153" s="95" t="e">
        <f>VLOOKUP(C153,'Member Details (HOF Only)'!$A$2:$U$219,4,FALSE)</f>
        <v>#N/A</v>
      </c>
      <c r="R153" s="13"/>
      <c r="S153" s="95" t="e">
        <f>VLOOKUP(C153,'Member Details (HOF Only)'!$A$2:$U$219,7,FALSE)</f>
        <v>#N/A</v>
      </c>
      <c r="T153" s="11">
        <f t="shared" si="2"/>
        <v>0</v>
      </c>
    </row>
    <row r="154" spans="1:20" x14ac:dyDescent="0.2">
      <c r="A154" s="18"/>
      <c r="B154" s="85"/>
      <c r="C154" s="19"/>
      <c r="D154" s="31"/>
      <c r="E154" s="24"/>
      <c r="F154" s="16"/>
      <c r="G154" s="16"/>
      <c r="H154" s="16"/>
      <c r="I154" s="16"/>
      <c r="J154" s="20"/>
      <c r="K154" s="25"/>
      <c r="L154" s="16"/>
      <c r="M154" s="16"/>
      <c r="N154" s="16"/>
      <c r="O154" s="16" t="str">
        <f>IF(ISNA(VLOOKUP(C154,'Auction Summary'!$P$3:$R$600,2,FALSE)),"",VLOOKUP(C154,'Auction Summary'!$P$3:$R$600,2,FALSE))</f>
        <v/>
      </c>
      <c r="P154" s="16"/>
      <c r="Q154" s="95" t="e">
        <f>VLOOKUP(C154,'Member Details (HOF Only)'!$A$2:$U$219,4,FALSE)</f>
        <v>#N/A</v>
      </c>
      <c r="R154" s="13"/>
      <c r="S154" s="95" t="e">
        <f>VLOOKUP(C154,'Member Details (HOF Only)'!$A$2:$U$219,7,FALSE)</f>
        <v>#N/A</v>
      </c>
      <c r="T154" s="11">
        <f t="shared" si="2"/>
        <v>0</v>
      </c>
    </row>
    <row r="155" spans="1:20" x14ac:dyDescent="0.2">
      <c r="A155" s="18"/>
      <c r="B155" s="85"/>
      <c r="C155" s="19"/>
      <c r="D155" s="31"/>
      <c r="E155" s="24"/>
      <c r="F155" s="16"/>
      <c r="G155" s="16"/>
      <c r="H155" s="16"/>
      <c r="I155" s="16"/>
      <c r="J155" s="20"/>
      <c r="K155" s="25"/>
      <c r="L155" s="16"/>
      <c r="M155" s="16"/>
      <c r="N155" s="16"/>
      <c r="O155" s="16" t="str">
        <f>IF(ISNA(VLOOKUP(C155,'Auction Summary'!$P$3:$R$600,2,FALSE)),"",VLOOKUP(C155,'Auction Summary'!$P$3:$R$600,2,FALSE))</f>
        <v/>
      </c>
      <c r="P155" s="16"/>
      <c r="Q155" s="95" t="e">
        <f>VLOOKUP(C155,'Member Details (HOF Only)'!$A$2:$U$219,4,FALSE)</f>
        <v>#N/A</v>
      </c>
      <c r="R155" s="13"/>
      <c r="S155" s="95" t="e">
        <f>VLOOKUP(C155,'Member Details (HOF Only)'!$A$2:$U$219,7,FALSE)</f>
        <v>#N/A</v>
      </c>
      <c r="T155" s="11">
        <f t="shared" si="2"/>
        <v>0</v>
      </c>
    </row>
    <row r="156" spans="1:20" x14ac:dyDescent="0.2">
      <c r="A156" s="18"/>
      <c r="B156" s="85"/>
      <c r="C156" s="19"/>
      <c r="D156" s="31"/>
      <c r="E156" s="24"/>
      <c r="F156" s="16"/>
      <c r="G156" s="16"/>
      <c r="H156" s="16"/>
      <c r="I156" s="16"/>
      <c r="J156" s="20"/>
      <c r="K156" s="25"/>
      <c r="L156" s="16"/>
      <c r="M156" s="16"/>
      <c r="N156" s="16"/>
      <c r="O156" s="16" t="str">
        <f>IF(ISNA(VLOOKUP(C156,'Auction Summary'!$P$3:$R$600,2,FALSE)),"",VLOOKUP(C156,'Auction Summary'!$P$3:$R$600,2,FALSE))</f>
        <v/>
      </c>
      <c r="P156" s="16"/>
      <c r="Q156" s="95" t="e">
        <f>VLOOKUP(C156,'Member Details (HOF Only)'!$A$2:$U$219,4,FALSE)</f>
        <v>#N/A</v>
      </c>
      <c r="R156" s="13"/>
      <c r="S156" s="95" t="e">
        <f>VLOOKUP(C156,'Member Details (HOF Only)'!$A$2:$U$219,7,FALSE)</f>
        <v>#N/A</v>
      </c>
      <c r="T156" s="11">
        <f t="shared" si="2"/>
        <v>0</v>
      </c>
    </row>
    <row r="157" spans="1:20" x14ac:dyDescent="0.2">
      <c r="A157" s="18"/>
      <c r="B157" s="85"/>
      <c r="C157" s="19"/>
      <c r="D157" s="31"/>
      <c r="E157" s="24"/>
      <c r="F157" s="16"/>
      <c r="G157" s="16"/>
      <c r="H157" s="16"/>
      <c r="I157" s="16"/>
      <c r="J157" s="20"/>
      <c r="K157" s="25"/>
      <c r="L157" s="16"/>
      <c r="M157" s="16"/>
      <c r="N157" s="16"/>
      <c r="O157" s="16" t="str">
        <f>IF(ISNA(VLOOKUP(C157,'Auction Summary'!$P$3:$R$600,2,FALSE)),"",VLOOKUP(C157,'Auction Summary'!$P$3:$R$600,2,FALSE))</f>
        <v/>
      </c>
      <c r="P157" s="16"/>
      <c r="Q157" s="95" t="e">
        <f>VLOOKUP(C157,'Member Details (HOF Only)'!$A$2:$U$219,4,FALSE)</f>
        <v>#N/A</v>
      </c>
      <c r="R157" s="13"/>
      <c r="S157" s="95" t="e">
        <f>VLOOKUP(C157,'Member Details (HOF Only)'!$A$2:$U$219,7,FALSE)</f>
        <v>#N/A</v>
      </c>
      <c r="T157" s="11">
        <f t="shared" si="2"/>
        <v>0</v>
      </c>
    </row>
    <row r="158" spans="1:20" x14ac:dyDescent="0.2">
      <c r="A158" s="18"/>
      <c r="B158" s="85"/>
      <c r="C158" s="19"/>
      <c r="D158" s="31"/>
      <c r="E158" s="24"/>
      <c r="F158" s="16"/>
      <c r="G158" s="16"/>
      <c r="H158" s="16"/>
      <c r="I158" s="16"/>
      <c r="J158" s="20"/>
      <c r="K158" s="25"/>
      <c r="L158" s="16"/>
      <c r="M158" s="16"/>
      <c r="N158" s="16"/>
      <c r="O158" s="16" t="str">
        <f>IF(ISNA(VLOOKUP(C158,'Auction Summary'!$P$3:$R$600,2,FALSE)),"",VLOOKUP(C158,'Auction Summary'!$P$3:$R$600,2,FALSE))</f>
        <v/>
      </c>
      <c r="P158" s="16"/>
      <c r="Q158" s="95" t="e">
        <f>VLOOKUP(C158,'Member Details (HOF Only)'!$A$2:$U$219,4,FALSE)</f>
        <v>#N/A</v>
      </c>
      <c r="R158" s="13"/>
      <c r="S158" s="95" t="e">
        <f>VLOOKUP(C158,'Member Details (HOF Only)'!$A$2:$U$219,7,FALSE)</f>
        <v>#N/A</v>
      </c>
      <c r="T158" s="11">
        <f t="shared" si="2"/>
        <v>0</v>
      </c>
    </row>
    <row r="159" spans="1:20" x14ac:dyDescent="0.2">
      <c r="A159" s="18"/>
      <c r="B159" s="85"/>
      <c r="C159" s="19"/>
      <c r="D159" s="31"/>
      <c r="E159" s="24"/>
      <c r="F159" s="16"/>
      <c r="G159" s="16"/>
      <c r="H159" s="16"/>
      <c r="I159" s="16"/>
      <c r="J159" s="20"/>
      <c r="K159" s="25"/>
      <c r="L159" s="16"/>
      <c r="M159" s="16"/>
      <c r="N159" s="16"/>
      <c r="O159" s="16" t="str">
        <f>IF(ISNA(VLOOKUP(C159,'Auction Summary'!$P$3:$R$600,2,FALSE)),"",VLOOKUP(C159,'Auction Summary'!$P$3:$R$600,2,FALSE))</f>
        <v/>
      </c>
      <c r="P159" s="16"/>
      <c r="Q159" s="95" t="e">
        <f>VLOOKUP(C159,'Member Details (HOF Only)'!$A$2:$U$219,4,FALSE)</f>
        <v>#N/A</v>
      </c>
      <c r="R159" s="13"/>
      <c r="S159" s="95" t="e">
        <f>VLOOKUP(C159,'Member Details (HOF Only)'!$A$2:$U$219,7,FALSE)</f>
        <v>#N/A</v>
      </c>
      <c r="T159" s="11">
        <f t="shared" si="2"/>
        <v>0</v>
      </c>
    </row>
    <row r="160" spans="1:20" x14ac:dyDescent="0.2">
      <c r="A160" s="18"/>
      <c r="B160" s="85"/>
      <c r="C160" s="19"/>
      <c r="D160" s="31"/>
      <c r="E160" s="24"/>
      <c r="F160" s="16"/>
      <c r="G160" s="16"/>
      <c r="H160" s="16"/>
      <c r="I160" s="16"/>
      <c r="J160" s="20"/>
      <c r="K160" s="25"/>
      <c r="L160" s="16"/>
      <c r="M160" s="16"/>
      <c r="N160" s="16"/>
      <c r="O160" s="16" t="str">
        <f>IF(ISNA(VLOOKUP(C160,'Auction Summary'!$P$3:$R$600,2,FALSE)),"",VLOOKUP(C160,'Auction Summary'!$P$3:$R$600,2,FALSE))</f>
        <v/>
      </c>
      <c r="P160" s="16"/>
      <c r="Q160" s="95" t="e">
        <f>VLOOKUP(C160,'Member Details (HOF Only)'!$A$2:$U$219,4,FALSE)</f>
        <v>#N/A</v>
      </c>
      <c r="R160" s="13"/>
      <c r="S160" s="95" t="e">
        <f>VLOOKUP(C160,'Member Details (HOF Only)'!$A$2:$U$219,7,FALSE)</f>
        <v>#N/A</v>
      </c>
      <c r="T160" s="11">
        <f t="shared" si="2"/>
        <v>0</v>
      </c>
    </row>
    <row r="161" spans="1:20" x14ac:dyDescent="0.2">
      <c r="A161" s="18"/>
      <c r="B161" s="85"/>
      <c r="C161" s="19"/>
      <c r="D161" s="31"/>
      <c r="E161" s="24"/>
      <c r="F161" s="16"/>
      <c r="G161" s="16"/>
      <c r="H161" s="16"/>
      <c r="I161" s="16"/>
      <c r="J161" s="20"/>
      <c r="K161" s="25"/>
      <c r="L161" s="16"/>
      <c r="M161" s="16"/>
      <c r="N161" s="16"/>
      <c r="O161" s="16" t="str">
        <f>IF(ISNA(VLOOKUP(C161,'Auction Summary'!$P$3:$R$600,2,FALSE)),"",VLOOKUP(C161,'Auction Summary'!$P$3:$R$600,2,FALSE))</f>
        <v/>
      </c>
      <c r="P161" s="16"/>
      <c r="Q161" s="95" t="e">
        <f>VLOOKUP(C161,'Member Details (HOF Only)'!$A$2:$U$219,4,FALSE)</f>
        <v>#N/A</v>
      </c>
      <c r="R161" s="13"/>
      <c r="S161" s="95" t="e">
        <f>VLOOKUP(C161,'Member Details (HOF Only)'!$A$2:$U$219,7,FALSE)</f>
        <v>#N/A</v>
      </c>
      <c r="T161" s="11">
        <f t="shared" si="2"/>
        <v>0</v>
      </c>
    </row>
    <row r="162" spans="1:20" x14ac:dyDescent="0.2">
      <c r="A162" s="18"/>
      <c r="B162" s="85"/>
      <c r="C162" s="19"/>
      <c r="D162" s="31"/>
      <c r="E162" s="24"/>
      <c r="F162" s="16"/>
      <c r="G162" s="16"/>
      <c r="H162" s="16"/>
      <c r="I162" s="16"/>
      <c r="J162" s="20"/>
      <c r="K162" s="25"/>
      <c r="L162" s="16"/>
      <c r="M162" s="16"/>
      <c r="N162" s="16"/>
      <c r="O162" s="16" t="str">
        <f>IF(ISNA(VLOOKUP(C162,'Auction Summary'!$P$3:$R$600,2,FALSE)),"",VLOOKUP(C162,'Auction Summary'!$P$3:$R$600,2,FALSE))</f>
        <v/>
      </c>
      <c r="P162" s="16"/>
      <c r="Q162" s="95" t="e">
        <f>VLOOKUP(C162,'Member Details (HOF Only)'!$A$2:$U$219,4,FALSE)</f>
        <v>#N/A</v>
      </c>
      <c r="R162" s="13"/>
      <c r="S162" s="95" t="e">
        <f>VLOOKUP(C162,'Member Details (HOF Only)'!$A$2:$U$219,7,FALSE)</f>
        <v>#N/A</v>
      </c>
      <c r="T162" s="11">
        <f t="shared" si="2"/>
        <v>0</v>
      </c>
    </row>
    <row r="163" spans="1:20" x14ac:dyDescent="0.2">
      <c r="A163" s="18"/>
      <c r="B163" s="85"/>
      <c r="C163" s="19"/>
      <c r="D163" s="31"/>
      <c r="E163" s="24"/>
      <c r="F163" s="16"/>
      <c r="G163" s="16"/>
      <c r="H163" s="16"/>
      <c r="I163" s="16"/>
      <c r="J163" s="20"/>
      <c r="K163" s="25"/>
      <c r="L163" s="16"/>
      <c r="M163" s="16"/>
      <c r="N163" s="16"/>
      <c r="O163" s="16" t="str">
        <f>IF(ISNA(VLOOKUP(C163,'Auction Summary'!$P$3:$R$600,2,FALSE)),"",VLOOKUP(C163,'Auction Summary'!$P$3:$R$600,2,FALSE))</f>
        <v/>
      </c>
      <c r="P163" s="16"/>
      <c r="Q163" s="95" t="e">
        <f>VLOOKUP(C163,'Member Details (HOF Only)'!$A$2:$U$219,4,FALSE)</f>
        <v>#N/A</v>
      </c>
      <c r="R163" s="13"/>
      <c r="S163" s="95" t="e">
        <f>VLOOKUP(C163,'Member Details (HOF Only)'!$A$2:$U$219,7,FALSE)</f>
        <v>#N/A</v>
      </c>
      <c r="T163" s="11">
        <f t="shared" si="2"/>
        <v>0</v>
      </c>
    </row>
    <row r="164" spans="1:20" x14ac:dyDescent="0.2">
      <c r="A164" s="18"/>
      <c r="B164" s="85"/>
      <c r="C164" s="19"/>
      <c r="D164" s="31"/>
      <c r="E164" s="24"/>
      <c r="F164" s="16"/>
      <c r="G164" s="16"/>
      <c r="H164" s="16"/>
      <c r="I164" s="16"/>
      <c r="J164" s="20"/>
      <c r="K164" s="25"/>
      <c r="L164" s="16"/>
      <c r="M164" s="16"/>
      <c r="N164" s="16"/>
      <c r="O164" s="16" t="str">
        <f>IF(ISNA(VLOOKUP(C164,'Auction Summary'!$P$3:$R$600,2,FALSE)),"",VLOOKUP(C164,'Auction Summary'!$P$3:$R$600,2,FALSE))</f>
        <v/>
      </c>
      <c r="P164" s="16"/>
      <c r="Q164" s="95" t="e">
        <f>VLOOKUP(C164,'Member Details (HOF Only)'!$A$2:$U$219,4,FALSE)</f>
        <v>#N/A</v>
      </c>
      <c r="R164" s="13"/>
      <c r="S164" s="95" t="e">
        <f>VLOOKUP(C164,'Member Details (HOF Only)'!$A$2:$U$219,7,FALSE)</f>
        <v>#N/A</v>
      </c>
      <c r="T164" s="11">
        <f t="shared" si="2"/>
        <v>0</v>
      </c>
    </row>
    <row r="165" spans="1:20" x14ac:dyDescent="0.2">
      <c r="A165" s="18"/>
      <c r="B165" s="85"/>
      <c r="C165" s="19"/>
      <c r="D165" s="31"/>
      <c r="E165" s="24"/>
      <c r="F165" s="16"/>
      <c r="G165" s="16"/>
      <c r="H165" s="16"/>
      <c r="I165" s="16"/>
      <c r="J165" s="20"/>
      <c r="K165" s="25"/>
      <c r="L165" s="16"/>
      <c r="M165" s="16"/>
      <c r="N165" s="16"/>
      <c r="O165" s="16" t="str">
        <f>IF(ISNA(VLOOKUP(C165,'Auction Summary'!$P$3:$R$600,2,FALSE)),"",VLOOKUP(C165,'Auction Summary'!$P$3:$R$600,2,FALSE))</f>
        <v/>
      </c>
      <c r="P165" s="16"/>
      <c r="Q165" s="95" t="e">
        <f>VLOOKUP(C165,'Member Details (HOF Only)'!$A$2:$U$219,4,FALSE)</f>
        <v>#N/A</v>
      </c>
      <c r="R165" s="13"/>
      <c r="S165" s="95" t="e">
        <f>VLOOKUP(C165,'Member Details (HOF Only)'!$A$2:$U$219,7,FALSE)</f>
        <v>#N/A</v>
      </c>
      <c r="T165" s="11">
        <f t="shared" si="2"/>
        <v>0</v>
      </c>
    </row>
    <row r="166" spans="1:20" x14ac:dyDescent="0.2">
      <c r="A166" s="18"/>
      <c r="B166" s="85"/>
      <c r="C166" s="19"/>
      <c r="D166" s="31"/>
      <c r="E166" s="24"/>
      <c r="F166" s="16"/>
      <c r="G166" s="16"/>
      <c r="H166" s="16"/>
      <c r="I166" s="16"/>
      <c r="J166" s="20"/>
      <c r="K166" s="25"/>
      <c r="L166" s="16"/>
      <c r="M166" s="16"/>
      <c r="N166" s="16"/>
      <c r="O166" s="16" t="str">
        <f>IF(ISNA(VLOOKUP(C166,'Auction Summary'!$P$3:$R$600,2,FALSE)),"",VLOOKUP(C166,'Auction Summary'!$P$3:$R$600,2,FALSE))</f>
        <v/>
      </c>
      <c r="P166" s="16"/>
      <c r="Q166" s="95" t="e">
        <f>VLOOKUP(C166,'Member Details (HOF Only)'!$A$2:$U$219,4,FALSE)</f>
        <v>#N/A</v>
      </c>
      <c r="R166" s="13"/>
      <c r="S166" s="95" t="e">
        <f>VLOOKUP(C166,'Member Details (HOF Only)'!$A$2:$U$219,7,FALSE)</f>
        <v>#N/A</v>
      </c>
      <c r="T166" s="11">
        <f t="shared" si="2"/>
        <v>0</v>
      </c>
    </row>
    <row r="167" spans="1:20" x14ac:dyDescent="0.2">
      <c r="A167" s="18"/>
      <c r="B167" s="85"/>
      <c r="C167" s="19"/>
      <c r="D167" s="31"/>
      <c r="E167" s="24"/>
      <c r="F167" s="16"/>
      <c r="G167" s="16"/>
      <c r="H167" s="16"/>
      <c r="I167" s="16"/>
      <c r="J167" s="20"/>
      <c r="K167" s="25"/>
      <c r="L167" s="16"/>
      <c r="M167" s="16"/>
      <c r="N167" s="16"/>
      <c r="O167" s="16" t="str">
        <f>IF(ISNA(VLOOKUP(C167,'Auction Summary'!$P$3:$R$600,2,FALSE)),"",VLOOKUP(C167,'Auction Summary'!$P$3:$R$600,2,FALSE))</f>
        <v/>
      </c>
      <c r="P167" s="16"/>
      <c r="Q167" s="95" t="e">
        <f>VLOOKUP(C167,'Member Details (HOF Only)'!$A$2:$U$219,4,FALSE)</f>
        <v>#N/A</v>
      </c>
      <c r="R167" s="13"/>
      <c r="S167" s="95" t="e">
        <f>VLOOKUP(C167,'Member Details (HOF Only)'!$A$2:$U$219,7,FALSE)</f>
        <v>#N/A</v>
      </c>
      <c r="T167" s="11">
        <f t="shared" si="2"/>
        <v>0</v>
      </c>
    </row>
    <row r="168" spans="1:20" x14ac:dyDescent="0.2">
      <c r="A168" s="18"/>
      <c r="B168" s="85"/>
      <c r="C168" s="19"/>
      <c r="D168" s="31"/>
      <c r="E168" s="24"/>
      <c r="F168" s="16"/>
      <c r="G168" s="16"/>
      <c r="H168" s="16"/>
      <c r="I168" s="16"/>
      <c r="J168" s="20"/>
      <c r="K168" s="25"/>
      <c r="L168" s="16"/>
      <c r="M168" s="16"/>
      <c r="N168" s="16"/>
      <c r="O168" s="16" t="str">
        <f>IF(ISNA(VLOOKUP(C168,'Auction Summary'!$P$3:$R$600,2,FALSE)),"",VLOOKUP(C168,'Auction Summary'!$P$3:$R$600,2,FALSE))</f>
        <v/>
      </c>
      <c r="P168" s="16"/>
      <c r="Q168" s="95" t="e">
        <f>VLOOKUP(C168,'Member Details (HOF Only)'!$A$2:$U$219,4,FALSE)</f>
        <v>#N/A</v>
      </c>
      <c r="R168" s="13"/>
      <c r="S168" s="95" t="e">
        <f>VLOOKUP(C168,'Member Details (HOF Only)'!$A$2:$U$219,7,FALSE)</f>
        <v>#N/A</v>
      </c>
      <c r="T168" s="11">
        <f t="shared" si="2"/>
        <v>0</v>
      </c>
    </row>
    <row r="169" spans="1:20" x14ac:dyDescent="0.2">
      <c r="A169" s="18"/>
      <c r="B169" s="85"/>
      <c r="C169" s="19"/>
      <c r="D169" s="31"/>
      <c r="E169" s="24"/>
      <c r="F169" s="16"/>
      <c r="G169" s="16"/>
      <c r="H169" s="16"/>
      <c r="I169" s="16"/>
      <c r="J169" s="20"/>
      <c r="K169" s="25"/>
      <c r="L169" s="16"/>
      <c r="M169" s="16"/>
      <c r="N169" s="16"/>
      <c r="O169" s="16" t="str">
        <f>IF(ISNA(VLOOKUP(C169,'Auction Summary'!$P$3:$R$600,2,FALSE)),"",VLOOKUP(C169,'Auction Summary'!$P$3:$R$600,2,FALSE))</f>
        <v/>
      </c>
      <c r="P169" s="16"/>
      <c r="Q169" s="95" t="e">
        <f>VLOOKUP(C169,'Member Details (HOF Only)'!$A$2:$U$219,4,FALSE)</f>
        <v>#N/A</v>
      </c>
      <c r="R169" s="13"/>
      <c r="S169" s="95" t="e">
        <f>VLOOKUP(C169,'Member Details (HOF Only)'!$A$2:$U$219,7,FALSE)</f>
        <v>#N/A</v>
      </c>
      <c r="T169" s="11">
        <f t="shared" si="2"/>
        <v>0</v>
      </c>
    </row>
    <row r="170" spans="1:20" x14ac:dyDescent="0.2">
      <c r="A170" s="18"/>
      <c r="B170" s="85"/>
      <c r="C170" s="19"/>
      <c r="D170" s="31"/>
      <c r="E170" s="24"/>
      <c r="F170" s="16"/>
      <c r="G170" s="16"/>
      <c r="H170" s="16"/>
      <c r="I170" s="16"/>
      <c r="J170" s="20"/>
      <c r="K170" s="25"/>
      <c r="L170" s="16"/>
      <c r="M170" s="16"/>
      <c r="N170" s="16"/>
      <c r="O170" s="16" t="str">
        <f>IF(ISNA(VLOOKUP(C170,'Auction Summary'!$P$3:$R$600,2,FALSE)),"",VLOOKUP(C170,'Auction Summary'!$P$3:$R$600,2,FALSE))</f>
        <v/>
      </c>
      <c r="P170" s="16"/>
      <c r="Q170" s="95" t="e">
        <f>VLOOKUP(C170,'Member Details (HOF Only)'!$A$2:$U$219,4,FALSE)</f>
        <v>#N/A</v>
      </c>
      <c r="R170" s="13"/>
      <c r="S170" s="95" t="e">
        <f>VLOOKUP(C170,'Member Details (HOF Only)'!$A$2:$U$219,7,FALSE)</f>
        <v>#N/A</v>
      </c>
      <c r="T170" s="11">
        <f t="shared" si="2"/>
        <v>0</v>
      </c>
    </row>
    <row r="171" spans="1:20" x14ac:dyDescent="0.2">
      <c r="A171" s="18"/>
      <c r="B171" s="85"/>
      <c r="C171" s="19"/>
      <c r="D171" s="31"/>
      <c r="E171" s="24"/>
      <c r="F171" s="16"/>
      <c r="G171" s="16"/>
      <c r="H171" s="16"/>
      <c r="I171" s="16"/>
      <c r="J171" s="20"/>
      <c r="K171" s="25"/>
      <c r="L171" s="16"/>
      <c r="M171" s="16"/>
      <c r="N171" s="16"/>
      <c r="O171" s="16" t="str">
        <f>IF(ISNA(VLOOKUP(C171,'Auction Summary'!$P$3:$R$600,2,FALSE)),"",VLOOKUP(C171,'Auction Summary'!$P$3:$R$600,2,FALSE))</f>
        <v/>
      </c>
      <c r="P171" s="16"/>
      <c r="Q171" s="95" t="e">
        <f>VLOOKUP(C171,'Member Details (HOF Only)'!$A$2:$U$219,4,FALSE)</f>
        <v>#N/A</v>
      </c>
      <c r="R171" s="13"/>
      <c r="S171" s="95" t="e">
        <f>VLOOKUP(C171,'Member Details (HOF Only)'!$A$2:$U$219,7,FALSE)</f>
        <v>#N/A</v>
      </c>
      <c r="T171" s="11">
        <f t="shared" si="2"/>
        <v>0</v>
      </c>
    </row>
    <row r="172" spans="1:20" x14ac:dyDescent="0.2">
      <c r="A172" s="18"/>
      <c r="B172" s="85"/>
      <c r="C172" s="19"/>
      <c r="D172" s="31"/>
      <c r="E172" s="24"/>
      <c r="F172" s="16"/>
      <c r="G172" s="16"/>
      <c r="H172" s="16"/>
      <c r="I172" s="16"/>
      <c r="J172" s="20"/>
      <c r="K172" s="25"/>
      <c r="L172" s="16"/>
      <c r="M172" s="16"/>
      <c r="N172" s="16"/>
      <c r="O172" s="16" t="str">
        <f>IF(ISNA(VLOOKUP(C172,'Auction Summary'!$P$3:$R$600,2,FALSE)),"",VLOOKUP(C172,'Auction Summary'!$P$3:$R$600,2,FALSE))</f>
        <v/>
      </c>
      <c r="P172" s="16"/>
      <c r="Q172" s="95" t="e">
        <f>VLOOKUP(C172,'Member Details (HOF Only)'!$A$2:$U$219,4,FALSE)</f>
        <v>#N/A</v>
      </c>
      <c r="R172" s="13"/>
      <c r="S172" s="95" t="e">
        <f>VLOOKUP(C172,'Member Details (HOF Only)'!$A$2:$U$219,7,FALSE)</f>
        <v>#N/A</v>
      </c>
      <c r="T172" s="11">
        <f t="shared" si="2"/>
        <v>0</v>
      </c>
    </row>
    <row r="173" spans="1:20" x14ac:dyDescent="0.2">
      <c r="A173" s="18"/>
      <c r="B173" s="85"/>
      <c r="C173" s="19"/>
      <c r="D173" s="31"/>
      <c r="E173" s="24"/>
      <c r="F173" s="16"/>
      <c r="G173" s="16"/>
      <c r="H173" s="16"/>
      <c r="I173" s="16"/>
      <c r="J173" s="20"/>
      <c r="K173" s="25"/>
      <c r="L173" s="16"/>
      <c r="M173" s="16"/>
      <c r="N173" s="16"/>
      <c r="O173" s="16" t="str">
        <f>IF(ISNA(VLOOKUP(C173,'Auction Summary'!$P$3:$R$600,2,FALSE)),"",VLOOKUP(C173,'Auction Summary'!$P$3:$R$600,2,FALSE))</f>
        <v/>
      </c>
      <c r="P173" s="16"/>
      <c r="Q173" s="95" t="e">
        <f>VLOOKUP(C173,'Member Details (HOF Only)'!$A$2:$U$219,4,FALSE)</f>
        <v>#N/A</v>
      </c>
      <c r="R173" s="13"/>
      <c r="S173" s="95" t="e">
        <f>VLOOKUP(C173,'Member Details (HOF Only)'!$A$2:$U$219,7,FALSE)</f>
        <v>#N/A</v>
      </c>
      <c r="T173" s="11">
        <f t="shared" si="2"/>
        <v>0</v>
      </c>
    </row>
    <row r="174" spans="1:20" x14ac:dyDescent="0.2">
      <c r="A174" s="18"/>
      <c r="B174" s="85"/>
      <c r="C174" s="19"/>
      <c r="D174" s="31"/>
      <c r="E174" s="24"/>
      <c r="F174" s="16"/>
      <c r="G174" s="16"/>
      <c r="H174" s="16"/>
      <c r="I174" s="16"/>
      <c r="J174" s="20"/>
      <c r="K174" s="25"/>
      <c r="L174" s="16"/>
      <c r="M174" s="16"/>
      <c r="N174" s="16"/>
      <c r="O174" s="16" t="str">
        <f>IF(ISNA(VLOOKUP(C174,'Auction Summary'!$P$3:$R$600,2,FALSE)),"",VLOOKUP(C174,'Auction Summary'!$P$3:$R$600,2,FALSE))</f>
        <v/>
      </c>
      <c r="P174" s="16"/>
      <c r="Q174" s="95" t="e">
        <f>VLOOKUP(C174,'Member Details (HOF Only)'!$A$2:$U$219,4,FALSE)</f>
        <v>#N/A</v>
      </c>
      <c r="R174" s="13"/>
      <c r="S174" s="95" t="e">
        <f>VLOOKUP(C174,'Member Details (HOF Only)'!$A$2:$U$219,7,FALSE)</f>
        <v>#N/A</v>
      </c>
      <c r="T174" s="11">
        <f t="shared" si="2"/>
        <v>0</v>
      </c>
    </row>
    <row r="175" spans="1:20" x14ac:dyDescent="0.2">
      <c r="A175" s="18"/>
      <c r="B175" s="85"/>
      <c r="C175" s="19"/>
      <c r="D175" s="31"/>
      <c r="E175" s="24"/>
      <c r="F175" s="16"/>
      <c r="G175" s="16"/>
      <c r="H175" s="16"/>
      <c r="I175" s="16"/>
      <c r="J175" s="20"/>
      <c r="K175" s="25"/>
      <c r="L175" s="16"/>
      <c r="M175" s="16"/>
      <c r="N175" s="16"/>
      <c r="O175" s="16" t="str">
        <f>IF(ISNA(VLOOKUP(C175,'Auction Summary'!$P$3:$R$600,2,FALSE)),"",VLOOKUP(C175,'Auction Summary'!$P$3:$R$600,2,FALSE))</f>
        <v/>
      </c>
      <c r="P175" s="16"/>
      <c r="Q175" s="95" t="e">
        <f>VLOOKUP(C175,'Member Details (HOF Only)'!$A$2:$U$219,4,FALSE)</f>
        <v>#N/A</v>
      </c>
      <c r="R175" s="13"/>
      <c r="S175" s="95" t="e">
        <f>VLOOKUP(C175,'Member Details (HOF Only)'!$A$2:$U$219,7,FALSE)</f>
        <v>#N/A</v>
      </c>
      <c r="T175" s="11">
        <f t="shared" si="2"/>
        <v>0</v>
      </c>
    </row>
    <row r="176" spans="1:20" x14ac:dyDescent="0.2">
      <c r="A176" s="18"/>
      <c r="B176" s="85"/>
      <c r="C176" s="19"/>
      <c r="D176" s="31"/>
      <c r="E176" s="24"/>
      <c r="F176" s="16"/>
      <c r="G176" s="16"/>
      <c r="H176" s="16"/>
      <c r="I176" s="16"/>
      <c r="J176" s="20"/>
      <c r="K176" s="25"/>
      <c r="L176" s="16"/>
      <c r="M176" s="16"/>
      <c r="N176" s="16"/>
      <c r="O176" s="16" t="str">
        <f>IF(ISNA(VLOOKUP(C176,'Auction Summary'!$P$3:$R$600,2,FALSE)),"",VLOOKUP(C176,'Auction Summary'!$P$3:$R$600,2,FALSE))</f>
        <v/>
      </c>
      <c r="P176" s="16"/>
      <c r="Q176" s="95" t="e">
        <f>VLOOKUP(C176,'Member Details (HOF Only)'!$A$2:$U$219,4,FALSE)</f>
        <v>#N/A</v>
      </c>
      <c r="R176" s="13"/>
      <c r="S176" s="95" t="e">
        <f>VLOOKUP(C176,'Member Details (HOF Only)'!$A$2:$U$219,7,FALSE)</f>
        <v>#N/A</v>
      </c>
      <c r="T176" s="11">
        <f t="shared" si="2"/>
        <v>0</v>
      </c>
    </row>
    <row r="177" spans="1:20" x14ac:dyDescent="0.2">
      <c r="A177" s="18"/>
      <c r="B177" s="85"/>
      <c r="C177" s="19"/>
      <c r="D177" s="31"/>
      <c r="E177" s="24"/>
      <c r="F177" s="16"/>
      <c r="G177" s="16"/>
      <c r="H177" s="16"/>
      <c r="I177" s="16"/>
      <c r="J177" s="20"/>
      <c r="K177" s="25"/>
      <c r="L177" s="16"/>
      <c r="M177" s="16"/>
      <c r="N177" s="16"/>
      <c r="O177" s="16" t="str">
        <f>IF(ISNA(VLOOKUP(C177,'Auction Summary'!$P$3:$R$600,2,FALSE)),"",VLOOKUP(C177,'Auction Summary'!$P$3:$R$600,2,FALSE))</f>
        <v/>
      </c>
      <c r="P177" s="16"/>
      <c r="Q177" s="95" t="e">
        <f>VLOOKUP(C177,'Member Details (HOF Only)'!$A$2:$U$219,4,FALSE)</f>
        <v>#N/A</v>
      </c>
      <c r="R177" s="13"/>
      <c r="S177" s="95" t="e">
        <f>VLOOKUP(C177,'Member Details (HOF Only)'!$A$2:$U$219,7,FALSE)</f>
        <v>#N/A</v>
      </c>
      <c r="T177" s="11">
        <f t="shared" si="2"/>
        <v>0</v>
      </c>
    </row>
    <row r="178" spans="1:20" x14ac:dyDescent="0.2">
      <c r="A178" s="18"/>
      <c r="B178" s="85"/>
      <c r="C178" s="19"/>
      <c r="D178" s="31"/>
      <c r="E178" s="24"/>
      <c r="F178" s="16"/>
      <c r="G178" s="16"/>
      <c r="H178" s="16"/>
      <c r="I178" s="16"/>
      <c r="J178" s="20"/>
      <c r="K178" s="25"/>
      <c r="L178" s="16"/>
      <c r="M178" s="16"/>
      <c r="N178" s="16"/>
      <c r="O178" s="16" t="str">
        <f>IF(ISNA(VLOOKUP(C178,'Auction Summary'!$P$3:$R$600,2,FALSE)),"",VLOOKUP(C178,'Auction Summary'!$P$3:$R$600,2,FALSE))</f>
        <v/>
      </c>
      <c r="P178" s="16"/>
      <c r="Q178" s="95" t="e">
        <f>VLOOKUP(C178,'Member Details (HOF Only)'!$A$2:$U$219,4,FALSE)</f>
        <v>#N/A</v>
      </c>
      <c r="R178" s="13"/>
      <c r="S178" s="95" t="e">
        <f>VLOOKUP(C178,'Member Details (HOF Only)'!$A$2:$U$219,7,FALSE)</f>
        <v>#N/A</v>
      </c>
      <c r="T178" s="11">
        <f t="shared" si="2"/>
        <v>0</v>
      </c>
    </row>
    <row r="179" spans="1:20" x14ac:dyDescent="0.2">
      <c r="A179" s="18"/>
      <c r="B179" s="85"/>
      <c r="C179" s="19"/>
      <c r="D179" s="31"/>
      <c r="E179" s="24"/>
      <c r="F179" s="16"/>
      <c r="G179" s="16"/>
      <c r="H179" s="16"/>
      <c r="I179" s="16"/>
      <c r="J179" s="20"/>
      <c r="K179" s="25"/>
      <c r="L179" s="16"/>
      <c r="M179" s="16"/>
      <c r="N179" s="16"/>
      <c r="O179" s="16" t="str">
        <f>IF(ISNA(VLOOKUP(C179,'Auction Summary'!$P$3:$R$600,2,FALSE)),"",VLOOKUP(C179,'Auction Summary'!$P$3:$R$600,2,FALSE))</f>
        <v/>
      </c>
      <c r="P179" s="16"/>
      <c r="Q179" s="95" t="e">
        <f>VLOOKUP(C179,'Member Details (HOF Only)'!$A$2:$U$219,4,FALSE)</f>
        <v>#N/A</v>
      </c>
      <c r="R179" s="13"/>
      <c r="S179" s="95" t="e">
        <f>VLOOKUP(C179,'Member Details (HOF Only)'!$A$2:$U$219,7,FALSE)</f>
        <v>#N/A</v>
      </c>
      <c r="T179" s="11">
        <f t="shared" si="2"/>
        <v>0</v>
      </c>
    </row>
    <row r="180" spans="1:20" x14ac:dyDescent="0.2">
      <c r="A180" s="18"/>
      <c r="B180" s="85"/>
      <c r="C180" s="19"/>
      <c r="D180" s="31"/>
      <c r="E180" s="24"/>
      <c r="F180" s="16"/>
      <c r="G180" s="16"/>
      <c r="H180" s="16"/>
      <c r="I180" s="16"/>
      <c r="J180" s="20"/>
      <c r="K180" s="25"/>
      <c r="L180" s="16"/>
      <c r="M180" s="16"/>
      <c r="N180" s="16"/>
      <c r="O180" s="16" t="str">
        <f>IF(ISNA(VLOOKUP(C180,'Auction Summary'!$P$3:$R$600,2,FALSE)),"",VLOOKUP(C180,'Auction Summary'!$P$3:$R$600,2,FALSE))</f>
        <v/>
      </c>
      <c r="P180" s="16"/>
      <c r="Q180" s="95" t="e">
        <f>VLOOKUP(C180,'Member Details (HOF Only)'!$A$2:$U$219,4,FALSE)</f>
        <v>#N/A</v>
      </c>
      <c r="R180" s="13"/>
      <c r="S180" s="95" t="e">
        <f>VLOOKUP(C180,'Member Details (HOF Only)'!$A$2:$U$219,7,FALSE)</f>
        <v>#N/A</v>
      </c>
      <c r="T180" s="11">
        <f t="shared" si="2"/>
        <v>0</v>
      </c>
    </row>
    <row r="181" spans="1:20" x14ac:dyDescent="0.2">
      <c r="A181" s="18"/>
      <c r="B181" s="85"/>
      <c r="C181" s="19"/>
      <c r="D181" s="31"/>
      <c r="E181" s="24"/>
      <c r="F181" s="16"/>
      <c r="G181" s="16"/>
      <c r="H181" s="16"/>
      <c r="I181" s="16"/>
      <c r="J181" s="20"/>
      <c r="K181" s="25"/>
      <c r="L181" s="16"/>
      <c r="M181" s="16"/>
      <c r="N181" s="16"/>
      <c r="O181" s="16" t="str">
        <f>IF(ISNA(VLOOKUP(C181,'Auction Summary'!$P$3:$R$600,2,FALSE)),"",VLOOKUP(C181,'Auction Summary'!$P$3:$R$600,2,FALSE))</f>
        <v/>
      </c>
      <c r="P181" s="16"/>
      <c r="Q181" s="95" t="e">
        <f>VLOOKUP(C181,'Member Details (HOF Only)'!$A$2:$U$219,4,FALSE)</f>
        <v>#N/A</v>
      </c>
      <c r="R181" s="13"/>
      <c r="S181" s="95" t="e">
        <f>VLOOKUP(C181,'Member Details (HOF Only)'!$A$2:$U$219,7,FALSE)</f>
        <v>#N/A</v>
      </c>
      <c r="T181" s="11">
        <f t="shared" si="2"/>
        <v>0</v>
      </c>
    </row>
    <row r="182" spans="1:20" x14ac:dyDescent="0.2">
      <c r="A182" s="18"/>
      <c r="B182" s="85"/>
      <c r="C182" s="19"/>
      <c r="D182" s="31"/>
      <c r="E182" s="24"/>
      <c r="F182" s="16"/>
      <c r="G182" s="16"/>
      <c r="H182" s="16"/>
      <c r="I182" s="16"/>
      <c r="J182" s="20"/>
      <c r="K182" s="25"/>
      <c r="L182" s="16"/>
      <c r="M182" s="16"/>
      <c r="N182" s="16"/>
      <c r="O182" s="16" t="str">
        <f>IF(ISNA(VLOOKUP(C182,'Auction Summary'!$P$3:$R$600,2,FALSE)),"",VLOOKUP(C182,'Auction Summary'!$P$3:$R$600,2,FALSE))</f>
        <v/>
      </c>
      <c r="P182" s="16"/>
      <c r="Q182" s="95" t="e">
        <f>VLOOKUP(C182,'Member Details (HOF Only)'!$A$2:$U$219,4,FALSE)</f>
        <v>#N/A</v>
      </c>
      <c r="R182" s="13"/>
      <c r="S182" s="95" t="e">
        <f>VLOOKUP(C182,'Member Details (HOF Only)'!$A$2:$U$219,7,FALSE)</f>
        <v>#N/A</v>
      </c>
      <c r="T182" s="11">
        <f t="shared" si="2"/>
        <v>0</v>
      </c>
    </row>
    <row r="183" spans="1:20" x14ac:dyDescent="0.2">
      <c r="A183" s="18"/>
      <c r="B183" s="85"/>
      <c r="C183" s="19"/>
      <c r="D183" s="31"/>
      <c r="E183" s="24"/>
      <c r="F183" s="16"/>
      <c r="G183" s="16"/>
      <c r="H183" s="16"/>
      <c r="I183" s="16"/>
      <c r="J183" s="20"/>
      <c r="K183" s="25"/>
      <c r="L183" s="16"/>
      <c r="M183" s="16"/>
      <c r="N183" s="16"/>
      <c r="O183" s="16" t="str">
        <f>IF(ISNA(VLOOKUP(C183,'Auction Summary'!$P$3:$R$600,2,FALSE)),"",VLOOKUP(C183,'Auction Summary'!$P$3:$R$600,2,FALSE))</f>
        <v/>
      </c>
      <c r="P183" s="16"/>
      <c r="Q183" s="95" t="e">
        <f>VLOOKUP(C183,'Member Details (HOF Only)'!$A$2:$U$219,4,FALSE)</f>
        <v>#N/A</v>
      </c>
      <c r="R183" s="13"/>
      <c r="S183" s="95" t="e">
        <f>VLOOKUP(C183,'Member Details (HOF Only)'!$A$2:$U$219,7,FALSE)</f>
        <v>#N/A</v>
      </c>
      <c r="T183" s="11">
        <f t="shared" si="2"/>
        <v>0</v>
      </c>
    </row>
    <row r="184" spans="1:20" x14ac:dyDescent="0.2">
      <c r="A184" s="18"/>
      <c r="B184" s="85"/>
      <c r="C184" s="19"/>
      <c r="D184" s="31"/>
      <c r="E184" s="24"/>
      <c r="F184" s="16"/>
      <c r="G184" s="16"/>
      <c r="H184" s="16"/>
      <c r="I184" s="16"/>
      <c r="J184" s="20"/>
      <c r="K184" s="25"/>
      <c r="L184" s="16"/>
      <c r="M184" s="16"/>
      <c r="N184" s="16"/>
      <c r="O184" s="16" t="str">
        <f>IF(ISNA(VLOOKUP(C184,'Auction Summary'!$P$3:$R$600,2,FALSE)),"",VLOOKUP(C184,'Auction Summary'!$P$3:$R$600,2,FALSE))</f>
        <v/>
      </c>
      <c r="P184" s="16"/>
      <c r="Q184" s="95" t="e">
        <f>VLOOKUP(C184,'Member Details (HOF Only)'!$A$2:$U$219,4,FALSE)</f>
        <v>#N/A</v>
      </c>
      <c r="R184" s="13"/>
      <c r="S184" s="95" t="e">
        <f>VLOOKUP(C184,'Member Details (HOF Only)'!$A$2:$U$219,7,FALSE)</f>
        <v>#N/A</v>
      </c>
      <c r="T184" s="11">
        <f t="shared" si="2"/>
        <v>0</v>
      </c>
    </row>
    <row r="185" spans="1:20" x14ac:dyDescent="0.2">
      <c r="A185" s="18"/>
      <c r="B185" s="85"/>
      <c r="C185" s="19"/>
      <c r="D185" s="31"/>
      <c r="E185" s="24"/>
      <c r="F185" s="16"/>
      <c r="G185" s="16"/>
      <c r="H185" s="16"/>
      <c r="I185" s="16"/>
      <c r="J185" s="20"/>
      <c r="K185" s="25"/>
      <c r="L185" s="16"/>
      <c r="M185" s="16"/>
      <c r="N185" s="16"/>
      <c r="O185" s="16" t="str">
        <f>IF(ISNA(VLOOKUP(C185,'Auction Summary'!$P$3:$R$600,2,FALSE)),"",VLOOKUP(C185,'Auction Summary'!$P$3:$R$600,2,FALSE))</f>
        <v/>
      </c>
      <c r="P185" s="16"/>
      <c r="Q185" s="95" t="e">
        <f>VLOOKUP(C185,'Member Details (HOF Only)'!$A$2:$U$219,4,FALSE)</f>
        <v>#N/A</v>
      </c>
      <c r="R185" s="13"/>
      <c r="S185" s="95" t="e">
        <f>VLOOKUP(C185,'Member Details (HOF Only)'!$A$2:$U$219,7,FALSE)</f>
        <v>#N/A</v>
      </c>
      <c r="T185" s="11">
        <f t="shared" si="2"/>
        <v>0</v>
      </c>
    </row>
    <row r="186" spans="1:20" x14ac:dyDescent="0.2">
      <c r="A186" s="18"/>
      <c r="B186" s="85"/>
      <c r="C186" s="19"/>
      <c r="D186" s="31"/>
      <c r="E186" s="24"/>
      <c r="F186" s="16"/>
      <c r="G186" s="16"/>
      <c r="H186" s="16"/>
      <c r="I186" s="16"/>
      <c r="J186" s="20"/>
      <c r="K186" s="25"/>
      <c r="L186" s="16"/>
      <c r="M186" s="16"/>
      <c r="N186" s="16"/>
      <c r="O186" s="16" t="str">
        <f>IF(ISNA(VLOOKUP(C186,'Auction Summary'!$P$3:$R$600,2,FALSE)),"",VLOOKUP(C186,'Auction Summary'!$P$3:$R$600,2,FALSE))</f>
        <v/>
      </c>
      <c r="P186" s="16"/>
      <c r="Q186" s="95" t="e">
        <f>VLOOKUP(C186,'Member Details (HOF Only)'!$A$2:$U$219,4,FALSE)</f>
        <v>#N/A</v>
      </c>
      <c r="R186" s="13"/>
      <c r="S186" s="95" t="e">
        <f>VLOOKUP(C186,'Member Details (HOF Only)'!$A$2:$U$219,7,FALSE)</f>
        <v>#N/A</v>
      </c>
      <c r="T186" s="11">
        <f t="shared" si="2"/>
        <v>0</v>
      </c>
    </row>
    <row r="187" spans="1:20" x14ac:dyDescent="0.2">
      <c r="A187" s="18"/>
      <c r="B187" s="85"/>
      <c r="C187" s="19"/>
      <c r="D187" s="31"/>
      <c r="E187" s="24"/>
      <c r="F187" s="16"/>
      <c r="G187" s="16"/>
      <c r="H187" s="16"/>
      <c r="I187" s="16"/>
      <c r="J187" s="20"/>
      <c r="K187" s="25"/>
      <c r="L187" s="16"/>
      <c r="M187" s="16"/>
      <c r="N187" s="16"/>
      <c r="O187" s="16" t="str">
        <f>IF(ISNA(VLOOKUP(C187,'Auction Summary'!$P$3:$R$600,2,FALSE)),"",VLOOKUP(C187,'Auction Summary'!$P$3:$R$600,2,FALSE))</f>
        <v/>
      </c>
      <c r="P187" s="16"/>
      <c r="Q187" s="95" t="e">
        <f>VLOOKUP(C187,'Member Details (HOF Only)'!$A$2:$U$219,4,FALSE)</f>
        <v>#N/A</v>
      </c>
      <c r="R187" s="13"/>
      <c r="S187" s="95" t="e">
        <f>VLOOKUP(C187,'Member Details (HOF Only)'!$A$2:$U$219,7,FALSE)</f>
        <v>#N/A</v>
      </c>
      <c r="T187" s="11">
        <f t="shared" si="2"/>
        <v>0</v>
      </c>
    </row>
    <row r="188" spans="1:20" x14ac:dyDescent="0.2">
      <c r="A188" s="18"/>
      <c r="B188" s="85"/>
      <c r="C188" s="19"/>
      <c r="D188" s="31"/>
      <c r="E188" s="24"/>
      <c r="F188" s="16"/>
      <c r="G188" s="16"/>
      <c r="H188" s="16"/>
      <c r="I188" s="16"/>
      <c r="J188" s="20"/>
      <c r="K188" s="25"/>
      <c r="L188" s="16"/>
      <c r="M188" s="16"/>
      <c r="N188" s="16"/>
      <c r="O188" s="16" t="str">
        <f>IF(ISNA(VLOOKUP(C188,'Auction Summary'!$P$3:$R$600,2,FALSE)),"",VLOOKUP(C188,'Auction Summary'!$P$3:$R$600,2,FALSE))</f>
        <v/>
      </c>
      <c r="P188" s="16"/>
      <c r="Q188" s="95" t="e">
        <f>VLOOKUP(C188,'Member Details (HOF Only)'!$A$2:$U$219,4,FALSE)</f>
        <v>#N/A</v>
      </c>
      <c r="R188" s="13"/>
      <c r="S188" s="95" t="e">
        <f>VLOOKUP(C188,'Member Details (HOF Only)'!$A$2:$U$219,7,FALSE)</f>
        <v>#N/A</v>
      </c>
      <c r="T188" s="11">
        <f t="shared" si="2"/>
        <v>0</v>
      </c>
    </row>
    <row r="189" spans="1:20" x14ac:dyDescent="0.2">
      <c r="A189" s="18"/>
      <c r="B189" s="85"/>
      <c r="C189" s="19"/>
      <c r="D189" s="31"/>
      <c r="E189" s="24"/>
      <c r="F189" s="16"/>
      <c r="G189" s="16"/>
      <c r="H189" s="16"/>
      <c r="I189" s="16"/>
      <c r="J189" s="20"/>
      <c r="K189" s="25"/>
      <c r="L189" s="16"/>
      <c r="M189" s="16"/>
      <c r="N189" s="16"/>
      <c r="O189" s="16" t="str">
        <f>IF(ISNA(VLOOKUP(C189,'Auction Summary'!$P$3:$R$600,2,FALSE)),"",VLOOKUP(C189,'Auction Summary'!$P$3:$R$600,2,FALSE))</f>
        <v/>
      </c>
      <c r="P189" s="16"/>
      <c r="Q189" s="95" t="e">
        <f>VLOOKUP(C189,'Member Details (HOF Only)'!$A$2:$U$219,4,FALSE)</f>
        <v>#N/A</v>
      </c>
      <c r="R189" s="13"/>
      <c r="S189" s="95" t="e">
        <f>VLOOKUP(C189,'Member Details (HOF Only)'!$A$2:$U$219,7,FALSE)</f>
        <v>#N/A</v>
      </c>
      <c r="T189" s="11">
        <f t="shared" si="2"/>
        <v>0</v>
      </c>
    </row>
    <row r="190" spans="1:20" x14ac:dyDescent="0.2">
      <c r="A190" s="18"/>
      <c r="B190" s="85"/>
      <c r="C190" s="19"/>
      <c r="D190" s="31"/>
      <c r="E190" s="24"/>
      <c r="F190" s="16"/>
      <c r="G190" s="16"/>
      <c r="H190" s="16"/>
      <c r="I190" s="16"/>
      <c r="J190" s="20"/>
      <c r="K190" s="25"/>
      <c r="L190" s="16"/>
      <c r="M190" s="16"/>
      <c r="N190" s="16"/>
      <c r="O190" s="16" t="str">
        <f>IF(ISNA(VLOOKUP(C190,'Auction Summary'!$P$3:$R$600,2,FALSE)),"",VLOOKUP(C190,'Auction Summary'!$P$3:$R$600,2,FALSE))</f>
        <v/>
      </c>
      <c r="P190" s="16"/>
      <c r="Q190" s="95" t="e">
        <f>VLOOKUP(C190,'Member Details (HOF Only)'!$A$2:$U$219,4,FALSE)</f>
        <v>#N/A</v>
      </c>
      <c r="R190" s="13"/>
      <c r="S190" s="95" t="e">
        <f>VLOOKUP(C190,'Member Details (HOF Only)'!$A$2:$U$219,7,FALSE)</f>
        <v>#N/A</v>
      </c>
      <c r="T190" s="11">
        <f t="shared" si="2"/>
        <v>0</v>
      </c>
    </row>
    <row r="191" spans="1:20" x14ac:dyDescent="0.2">
      <c r="A191" s="18"/>
      <c r="B191" s="85"/>
      <c r="C191" s="19"/>
      <c r="D191" s="31"/>
      <c r="E191" s="24"/>
      <c r="F191" s="16"/>
      <c r="G191" s="16"/>
      <c r="H191" s="16"/>
      <c r="I191" s="16"/>
      <c r="J191" s="20"/>
      <c r="K191" s="25"/>
      <c r="L191" s="16"/>
      <c r="M191" s="16"/>
      <c r="N191" s="16"/>
      <c r="O191" s="16" t="str">
        <f>IF(ISNA(VLOOKUP(C191,'Auction Summary'!$P$3:$R$600,2,FALSE)),"",VLOOKUP(C191,'Auction Summary'!$P$3:$R$600,2,FALSE))</f>
        <v/>
      </c>
      <c r="P191" s="16"/>
      <c r="Q191" s="95" t="e">
        <f>VLOOKUP(C191,'Member Details (HOF Only)'!$A$2:$U$219,4,FALSE)</f>
        <v>#N/A</v>
      </c>
      <c r="R191" s="13"/>
      <c r="S191" s="95" t="e">
        <f>VLOOKUP(C191,'Member Details (HOF Only)'!$A$2:$U$219,7,FALSE)</f>
        <v>#N/A</v>
      </c>
      <c r="T191" s="11">
        <f t="shared" si="2"/>
        <v>0</v>
      </c>
    </row>
    <row r="192" spans="1:20" x14ac:dyDescent="0.2">
      <c r="A192" s="18"/>
      <c r="B192" s="85"/>
      <c r="C192" s="19"/>
      <c r="D192" s="31"/>
      <c r="E192" s="24"/>
      <c r="F192" s="16"/>
      <c r="G192" s="16"/>
      <c r="H192" s="16"/>
      <c r="I192" s="16"/>
      <c r="J192" s="20"/>
      <c r="K192" s="25"/>
      <c r="L192" s="16"/>
      <c r="M192" s="16"/>
      <c r="N192" s="16"/>
      <c r="O192" s="16" t="str">
        <f>IF(ISNA(VLOOKUP(C192,'Auction Summary'!$P$3:$R$600,2,FALSE)),"",VLOOKUP(C192,'Auction Summary'!$P$3:$R$600,2,FALSE))</f>
        <v/>
      </c>
      <c r="P192" s="16"/>
      <c r="Q192" s="95" t="e">
        <f>VLOOKUP(C192,'Member Details (HOF Only)'!$A$2:$U$219,4,FALSE)</f>
        <v>#N/A</v>
      </c>
      <c r="R192" s="13"/>
      <c r="S192" s="95" t="e">
        <f>VLOOKUP(C192,'Member Details (HOF Only)'!$A$2:$U$219,7,FALSE)</f>
        <v>#N/A</v>
      </c>
      <c r="T192" s="11">
        <f t="shared" si="2"/>
        <v>0</v>
      </c>
    </row>
    <row r="193" spans="1:20" x14ac:dyDescent="0.2">
      <c r="A193" s="18"/>
      <c r="B193" s="85"/>
      <c r="C193" s="19"/>
      <c r="D193" s="31"/>
      <c r="E193" s="24"/>
      <c r="F193" s="16"/>
      <c r="G193" s="16"/>
      <c r="H193" s="16"/>
      <c r="I193" s="16"/>
      <c r="J193" s="20"/>
      <c r="K193" s="25"/>
      <c r="L193" s="16"/>
      <c r="M193" s="16"/>
      <c r="N193" s="16"/>
      <c r="O193" s="16" t="str">
        <f>IF(ISNA(VLOOKUP(C193,'Auction Summary'!$P$3:$R$600,2,FALSE)),"",VLOOKUP(C193,'Auction Summary'!$P$3:$R$600,2,FALSE))</f>
        <v/>
      </c>
      <c r="P193" s="16"/>
      <c r="Q193" s="95" t="e">
        <f>VLOOKUP(C193,'Member Details (HOF Only)'!$A$2:$U$219,4,FALSE)</f>
        <v>#N/A</v>
      </c>
      <c r="R193" s="13"/>
      <c r="S193" s="95" t="e">
        <f>VLOOKUP(C193,'Member Details (HOF Only)'!$A$2:$U$219,7,FALSE)</f>
        <v>#N/A</v>
      </c>
      <c r="T193" s="11">
        <f t="shared" si="2"/>
        <v>0</v>
      </c>
    </row>
    <row r="194" spans="1:20" x14ac:dyDescent="0.2">
      <c r="A194" s="18"/>
      <c r="B194" s="85"/>
      <c r="C194" s="19"/>
      <c r="D194" s="31"/>
      <c r="E194" s="24"/>
      <c r="F194" s="16"/>
      <c r="G194" s="16"/>
      <c r="H194" s="16"/>
      <c r="I194" s="16"/>
      <c r="J194" s="20"/>
      <c r="K194" s="25"/>
      <c r="L194" s="16"/>
      <c r="M194" s="16"/>
      <c r="N194" s="16"/>
      <c r="O194" s="16" t="str">
        <f>IF(ISNA(VLOOKUP(C194,'Auction Summary'!$P$3:$R$600,2,FALSE)),"",VLOOKUP(C194,'Auction Summary'!$P$3:$R$600,2,FALSE))</f>
        <v/>
      </c>
      <c r="P194" s="16"/>
      <c r="Q194" s="95" t="e">
        <f>VLOOKUP(C194,'Member Details (HOF Only)'!$A$2:$U$219,4,FALSE)</f>
        <v>#N/A</v>
      </c>
      <c r="R194" s="13"/>
      <c r="S194" s="95" t="e">
        <f>VLOOKUP(C194,'Member Details (HOF Only)'!$A$2:$U$219,7,FALSE)</f>
        <v>#N/A</v>
      </c>
      <c r="T194" s="11">
        <f t="shared" si="2"/>
        <v>0</v>
      </c>
    </row>
    <row r="195" spans="1:20" x14ac:dyDescent="0.2">
      <c r="A195" s="18"/>
      <c r="B195" s="85"/>
      <c r="C195" s="19"/>
      <c r="D195" s="31"/>
      <c r="E195" s="24"/>
      <c r="F195" s="16"/>
      <c r="G195" s="16"/>
      <c r="H195" s="16"/>
      <c r="I195" s="16"/>
      <c r="J195" s="20"/>
      <c r="K195" s="25"/>
      <c r="L195" s="16"/>
      <c r="M195" s="16"/>
      <c r="N195" s="16"/>
      <c r="O195" s="16" t="str">
        <f>IF(ISNA(VLOOKUP(C195,'Auction Summary'!$P$3:$R$600,2,FALSE)),"",VLOOKUP(C195,'Auction Summary'!$P$3:$R$600,2,FALSE))</f>
        <v/>
      </c>
      <c r="P195" s="16"/>
      <c r="Q195" s="95" t="e">
        <f>VLOOKUP(C195,'Member Details (HOF Only)'!$A$2:$U$219,4,FALSE)</f>
        <v>#N/A</v>
      </c>
      <c r="R195" s="13"/>
      <c r="S195" s="95" t="e">
        <f>VLOOKUP(C195,'Member Details (HOF Only)'!$A$2:$U$219,7,FALSE)</f>
        <v>#N/A</v>
      </c>
      <c r="T195" s="11">
        <f t="shared" ref="T195:T256" si="3">T194+D195</f>
        <v>0</v>
      </c>
    </row>
    <row r="196" spans="1:20" x14ac:dyDescent="0.2">
      <c r="A196" s="18"/>
      <c r="B196" s="85"/>
      <c r="C196" s="19"/>
      <c r="D196" s="31"/>
      <c r="E196" s="24"/>
      <c r="F196" s="16"/>
      <c r="G196" s="16"/>
      <c r="H196" s="16"/>
      <c r="I196" s="16"/>
      <c r="J196" s="20"/>
      <c r="K196" s="25"/>
      <c r="L196" s="16"/>
      <c r="M196" s="16"/>
      <c r="N196" s="16"/>
      <c r="O196" s="16" t="str">
        <f>IF(ISNA(VLOOKUP(C196,'Auction Summary'!$P$3:$R$600,2,FALSE)),"",VLOOKUP(C196,'Auction Summary'!$P$3:$R$600,2,FALSE))</f>
        <v/>
      </c>
      <c r="P196" s="16"/>
      <c r="Q196" s="95" t="e">
        <f>VLOOKUP(C196,'Member Details (HOF Only)'!$A$2:$U$219,4,FALSE)</f>
        <v>#N/A</v>
      </c>
      <c r="R196" s="13"/>
      <c r="S196" s="95" t="e">
        <f>VLOOKUP(C196,'Member Details (HOF Only)'!$A$2:$U$219,7,FALSE)</f>
        <v>#N/A</v>
      </c>
      <c r="T196" s="11">
        <f t="shared" si="3"/>
        <v>0</v>
      </c>
    </row>
    <row r="197" spans="1:20" x14ac:dyDescent="0.2">
      <c r="A197" s="18"/>
      <c r="B197" s="85"/>
      <c r="C197" s="19"/>
      <c r="D197" s="31"/>
      <c r="E197" s="24"/>
      <c r="F197" s="16"/>
      <c r="G197" s="16"/>
      <c r="H197" s="16"/>
      <c r="I197" s="16"/>
      <c r="J197" s="20"/>
      <c r="K197" s="25"/>
      <c r="L197" s="16"/>
      <c r="M197" s="16"/>
      <c r="N197" s="16"/>
      <c r="O197" s="16" t="str">
        <f>IF(ISNA(VLOOKUP(C197,'Auction Summary'!$P$3:$R$600,2,FALSE)),"",VLOOKUP(C197,'Auction Summary'!$P$3:$R$600,2,FALSE))</f>
        <v/>
      </c>
      <c r="P197" s="16"/>
      <c r="Q197" s="95" t="e">
        <f>VLOOKUP(C197,'Member Details (HOF Only)'!$A$2:$U$219,4,FALSE)</f>
        <v>#N/A</v>
      </c>
      <c r="R197" s="13"/>
      <c r="S197" s="95" t="e">
        <f>VLOOKUP(C197,'Member Details (HOF Only)'!$A$2:$U$219,7,FALSE)</f>
        <v>#N/A</v>
      </c>
      <c r="T197" s="11">
        <f t="shared" si="3"/>
        <v>0</v>
      </c>
    </row>
    <row r="198" spans="1:20" x14ac:dyDescent="0.2">
      <c r="A198" s="18"/>
      <c r="B198" s="85"/>
      <c r="C198" s="19"/>
      <c r="D198" s="31"/>
      <c r="E198" s="24"/>
      <c r="F198" s="16"/>
      <c r="G198" s="16"/>
      <c r="H198" s="16"/>
      <c r="I198" s="16"/>
      <c r="J198" s="20"/>
      <c r="K198" s="25"/>
      <c r="L198" s="16"/>
      <c r="M198" s="16"/>
      <c r="N198" s="16"/>
      <c r="O198" s="16" t="str">
        <f>IF(ISNA(VLOOKUP(C198,'Auction Summary'!$P$3:$R$600,2,FALSE)),"",VLOOKUP(C198,'Auction Summary'!$P$3:$R$600,2,FALSE))</f>
        <v/>
      </c>
      <c r="P198" s="16"/>
      <c r="Q198" s="95" t="e">
        <f>VLOOKUP(C198,'Member Details (HOF Only)'!$A$2:$U$219,4,FALSE)</f>
        <v>#N/A</v>
      </c>
      <c r="R198" s="13"/>
      <c r="S198" s="95" t="e">
        <f>VLOOKUP(C198,'Member Details (HOF Only)'!$A$2:$U$219,7,FALSE)</f>
        <v>#N/A</v>
      </c>
      <c r="T198" s="11">
        <f t="shared" si="3"/>
        <v>0</v>
      </c>
    </row>
    <row r="199" spans="1:20" x14ac:dyDescent="0.2">
      <c r="A199" s="18"/>
      <c r="B199" s="85"/>
      <c r="C199" s="19"/>
      <c r="D199" s="31"/>
      <c r="E199" s="24"/>
      <c r="F199" s="16"/>
      <c r="G199" s="16"/>
      <c r="H199" s="16"/>
      <c r="I199" s="16"/>
      <c r="J199" s="20"/>
      <c r="K199" s="25"/>
      <c r="L199" s="16"/>
      <c r="M199" s="16"/>
      <c r="N199" s="16"/>
      <c r="O199" s="16" t="str">
        <f>IF(ISNA(VLOOKUP(C199,'Auction Summary'!$P$3:$R$600,2,FALSE)),"",VLOOKUP(C199,'Auction Summary'!$P$3:$R$600,2,FALSE))</f>
        <v/>
      </c>
      <c r="P199" s="16"/>
      <c r="Q199" s="95" t="e">
        <f>VLOOKUP(C199,'Member Details (HOF Only)'!$A$2:$U$219,4,FALSE)</f>
        <v>#N/A</v>
      </c>
      <c r="R199" s="13"/>
      <c r="S199" s="95" t="e">
        <f>VLOOKUP(C199,'Member Details (HOF Only)'!$A$2:$U$219,7,FALSE)</f>
        <v>#N/A</v>
      </c>
      <c r="T199" s="11">
        <f t="shared" si="3"/>
        <v>0</v>
      </c>
    </row>
    <row r="200" spans="1:20" x14ac:dyDescent="0.2">
      <c r="A200" s="18"/>
      <c r="B200" s="85"/>
      <c r="C200" s="19"/>
      <c r="D200" s="31"/>
      <c r="E200" s="24"/>
      <c r="F200" s="16"/>
      <c r="G200" s="16"/>
      <c r="H200" s="16"/>
      <c r="I200" s="16"/>
      <c r="J200" s="20"/>
      <c r="K200" s="25"/>
      <c r="L200" s="16"/>
      <c r="M200" s="16"/>
      <c r="N200" s="16"/>
      <c r="O200" s="16" t="str">
        <f>IF(ISNA(VLOOKUP(C200,'Auction Summary'!$P$3:$R$600,2,FALSE)),"",VLOOKUP(C200,'Auction Summary'!$P$3:$R$600,2,FALSE))</f>
        <v/>
      </c>
      <c r="P200" s="16"/>
      <c r="Q200" s="95" t="e">
        <f>VLOOKUP(C200,'Member Details (HOF Only)'!$A$2:$U$219,4,FALSE)</f>
        <v>#N/A</v>
      </c>
      <c r="R200" s="13"/>
      <c r="S200" s="95" t="e">
        <f>VLOOKUP(C200,'Member Details (HOF Only)'!$A$2:$U$219,7,FALSE)</f>
        <v>#N/A</v>
      </c>
      <c r="T200" s="11">
        <f t="shared" si="3"/>
        <v>0</v>
      </c>
    </row>
    <row r="201" spans="1:20" x14ac:dyDescent="0.2">
      <c r="A201" s="18"/>
      <c r="B201" s="85"/>
      <c r="C201" s="19"/>
      <c r="D201" s="31"/>
      <c r="E201" s="24"/>
      <c r="F201" s="16"/>
      <c r="G201" s="16"/>
      <c r="H201" s="16"/>
      <c r="I201" s="16"/>
      <c r="J201" s="20"/>
      <c r="K201" s="25"/>
      <c r="L201" s="16"/>
      <c r="M201" s="16"/>
      <c r="N201" s="16"/>
      <c r="O201" s="16" t="str">
        <f>IF(ISNA(VLOOKUP(C201,'Auction Summary'!$P$3:$R$600,2,FALSE)),"",VLOOKUP(C201,'Auction Summary'!$P$3:$R$600,2,FALSE))</f>
        <v/>
      </c>
      <c r="P201" s="16"/>
      <c r="Q201" s="95" t="e">
        <f>VLOOKUP(C201,'Member Details (HOF Only)'!$A$2:$U$219,4,FALSE)</f>
        <v>#N/A</v>
      </c>
      <c r="R201" s="13"/>
      <c r="S201" s="95" t="e">
        <f>VLOOKUP(C201,'Member Details (HOF Only)'!$A$2:$U$219,7,FALSE)</f>
        <v>#N/A</v>
      </c>
      <c r="T201" s="11">
        <f t="shared" si="3"/>
        <v>0</v>
      </c>
    </row>
    <row r="202" spans="1:20" x14ac:dyDescent="0.2">
      <c r="A202" s="18"/>
      <c r="B202" s="85"/>
      <c r="C202" s="19"/>
      <c r="D202" s="31"/>
      <c r="E202" s="24"/>
      <c r="F202" s="16"/>
      <c r="G202" s="16"/>
      <c r="H202" s="16"/>
      <c r="I202" s="16"/>
      <c r="J202" s="20"/>
      <c r="K202" s="25"/>
      <c r="L202" s="16"/>
      <c r="M202" s="16"/>
      <c r="N202" s="16"/>
      <c r="O202" s="16" t="str">
        <f>IF(ISNA(VLOOKUP(C202,'Auction Summary'!$P$3:$R$600,2,FALSE)),"",VLOOKUP(C202,'Auction Summary'!$P$3:$R$600,2,FALSE))</f>
        <v/>
      </c>
      <c r="P202" s="16"/>
      <c r="Q202" s="95" t="e">
        <f>VLOOKUP(C202,'Member Details (HOF Only)'!$A$2:$U$219,4,FALSE)</f>
        <v>#N/A</v>
      </c>
      <c r="R202" s="13"/>
      <c r="S202" s="95" t="e">
        <f>VLOOKUP(C202,'Member Details (HOF Only)'!$A$2:$U$219,7,FALSE)</f>
        <v>#N/A</v>
      </c>
      <c r="T202" s="11">
        <f t="shared" si="3"/>
        <v>0</v>
      </c>
    </row>
    <row r="203" spans="1:20" x14ac:dyDescent="0.2">
      <c r="A203" s="18"/>
      <c r="B203" s="85"/>
      <c r="C203" s="19"/>
      <c r="D203" s="31"/>
      <c r="E203" s="24"/>
      <c r="F203" s="16"/>
      <c r="G203" s="16"/>
      <c r="H203" s="16"/>
      <c r="I203" s="16"/>
      <c r="J203" s="20"/>
      <c r="K203" s="25"/>
      <c r="L203" s="16"/>
      <c r="M203" s="16"/>
      <c r="N203" s="16"/>
      <c r="O203" s="16" t="str">
        <f>IF(ISNA(VLOOKUP(C203,'Auction Summary'!$P$3:$R$600,2,FALSE)),"",VLOOKUP(C203,'Auction Summary'!$P$3:$R$600,2,FALSE))</f>
        <v/>
      </c>
      <c r="P203" s="16"/>
      <c r="Q203" s="95" t="e">
        <f>VLOOKUP(C203,'Member Details (HOF Only)'!$A$2:$U$219,4,FALSE)</f>
        <v>#N/A</v>
      </c>
      <c r="R203" s="13"/>
      <c r="S203" s="95" t="e">
        <f>VLOOKUP(C203,'Member Details (HOF Only)'!$A$2:$U$219,7,FALSE)</f>
        <v>#N/A</v>
      </c>
      <c r="T203" s="11">
        <f t="shared" si="3"/>
        <v>0</v>
      </c>
    </row>
    <row r="204" spans="1:20" x14ac:dyDescent="0.2">
      <c r="A204" s="18"/>
      <c r="B204" s="85"/>
      <c r="C204" s="19"/>
      <c r="D204" s="31"/>
      <c r="E204" s="24"/>
      <c r="F204" s="16"/>
      <c r="G204" s="16"/>
      <c r="H204" s="16"/>
      <c r="I204" s="16"/>
      <c r="J204" s="20"/>
      <c r="K204" s="25"/>
      <c r="L204" s="16"/>
      <c r="M204" s="16"/>
      <c r="N204" s="16"/>
      <c r="O204" s="16" t="str">
        <f>IF(ISNA(VLOOKUP(C204,'Auction Summary'!$P$3:$R$600,2,FALSE)),"",VLOOKUP(C204,'Auction Summary'!$P$3:$R$600,2,FALSE))</f>
        <v/>
      </c>
      <c r="P204" s="16"/>
      <c r="Q204" s="95" t="e">
        <f>VLOOKUP(C204,'Member Details (HOF Only)'!$A$2:$U$219,4,FALSE)</f>
        <v>#N/A</v>
      </c>
      <c r="R204" s="13"/>
      <c r="S204" s="95" t="e">
        <f>VLOOKUP(C204,'Member Details (HOF Only)'!$A$2:$U$219,7,FALSE)</f>
        <v>#N/A</v>
      </c>
      <c r="T204" s="11">
        <f t="shared" si="3"/>
        <v>0</v>
      </c>
    </row>
    <row r="205" spans="1:20" x14ac:dyDescent="0.2">
      <c r="A205" s="18"/>
      <c r="B205" s="85"/>
      <c r="C205" s="19"/>
      <c r="D205" s="31"/>
      <c r="E205" s="24"/>
      <c r="F205" s="16"/>
      <c r="G205" s="16"/>
      <c r="H205" s="16"/>
      <c r="I205" s="16"/>
      <c r="J205" s="20"/>
      <c r="K205" s="25"/>
      <c r="L205" s="16"/>
      <c r="M205" s="16"/>
      <c r="N205" s="16"/>
      <c r="O205" s="16" t="str">
        <f>IF(ISNA(VLOOKUP(C205,'Auction Summary'!$P$3:$R$600,2,FALSE)),"",VLOOKUP(C205,'Auction Summary'!$P$3:$R$600,2,FALSE))</f>
        <v/>
      </c>
      <c r="P205" s="16"/>
      <c r="Q205" s="95" t="e">
        <f>VLOOKUP(C205,'Member Details (HOF Only)'!$A$2:$U$219,4,FALSE)</f>
        <v>#N/A</v>
      </c>
      <c r="R205" s="13"/>
      <c r="S205" s="95" t="e">
        <f>VLOOKUP(C205,'Member Details (HOF Only)'!$A$2:$U$219,7,FALSE)</f>
        <v>#N/A</v>
      </c>
      <c r="T205" s="11">
        <f t="shared" si="3"/>
        <v>0</v>
      </c>
    </row>
    <row r="206" spans="1:20" x14ac:dyDescent="0.2">
      <c r="A206" s="18"/>
      <c r="B206" s="85"/>
      <c r="C206" s="19"/>
      <c r="D206" s="31"/>
      <c r="E206" s="24"/>
      <c r="F206" s="16"/>
      <c r="G206" s="16"/>
      <c r="H206" s="16"/>
      <c r="I206" s="16"/>
      <c r="J206" s="20"/>
      <c r="K206" s="25"/>
      <c r="L206" s="16"/>
      <c r="M206" s="16"/>
      <c r="N206" s="16"/>
      <c r="O206" s="16" t="str">
        <f>IF(ISNA(VLOOKUP(C206,'Auction Summary'!$P$3:$R$600,2,FALSE)),"",VLOOKUP(C206,'Auction Summary'!$P$3:$R$600,2,FALSE))</f>
        <v/>
      </c>
      <c r="P206" s="16"/>
      <c r="Q206" s="95" t="e">
        <f>VLOOKUP(C206,'Member Details (HOF Only)'!$A$2:$U$219,4,FALSE)</f>
        <v>#N/A</v>
      </c>
      <c r="R206" s="13"/>
      <c r="S206" s="95" t="e">
        <f>VLOOKUP(C206,'Member Details (HOF Only)'!$A$2:$U$219,7,FALSE)</f>
        <v>#N/A</v>
      </c>
      <c r="T206" s="11">
        <f t="shared" si="3"/>
        <v>0</v>
      </c>
    </row>
    <row r="207" spans="1:20" x14ac:dyDescent="0.2">
      <c r="A207" s="18"/>
      <c r="B207" s="85"/>
      <c r="C207" s="19"/>
      <c r="D207" s="31"/>
      <c r="E207" s="24"/>
      <c r="F207" s="16"/>
      <c r="G207" s="16"/>
      <c r="H207" s="16"/>
      <c r="I207" s="16"/>
      <c r="J207" s="20"/>
      <c r="K207" s="25"/>
      <c r="L207" s="16"/>
      <c r="M207" s="16"/>
      <c r="N207" s="16"/>
      <c r="O207" s="16" t="str">
        <f>IF(ISNA(VLOOKUP(C207,'Auction Summary'!$P$3:$R$600,2,FALSE)),"",VLOOKUP(C207,'Auction Summary'!$P$3:$R$600,2,FALSE))</f>
        <v/>
      </c>
      <c r="P207" s="16"/>
      <c r="Q207" s="95" t="e">
        <f>VLOOKUP(C207,'Member Details (HOF Only)'!$A$2:$U$219,4,FALSE)</f>
        <v>#N/A</v>
      </c>
      <c r="R207" s="13"/>
      <c r="S207" s="95" t="e">
        <f>VLOOKUP(C207,'Member Details (HOF Only)'!$A$2:$U$219,7,FALSE)</f>
        <v>#N/A</v>
      </c>
      <c r="T207" s="11">
        <f t="shared" si="3"/>
        <v>0</v>
      </c>
    </row>
    <row r="208" spans="1:20" x14ac:dyDescent="0.2">
      <c r="A208" s="18"/>
      <c r="B208" s="85"/>
      <c r="C208" s="19"/>
      <c r="D208" s="31"/>
      <c r="E208" s="24"/>
      <c r="F208" s="16"/>
      <c r="G208" s="16"/>
      <c r="H208" s="16"/>
      <c r="I208" s="16"/>
      <c r="J208" s="20"/>
      <c r="K208" s="25"/>
      <c r="L208" s="16"/>
      <c r="M208" s="16"/>
      <c r="N208" s="16"/>
      <c r="O208" s="16" t="str">
        <f>IF(ISNA(VLOOKUP(C208,'Auction Summary'!$P$3:$R$600,2,FALSE)),"",VLOOKUP(C208,'Auction Summary'!$P$3:$R$600,2,FALSE))</f>
        <v/>
      </c>
      <c r="P208" s="16"/>
      <c r="Q208" s="95" t="e">
        <f>VLOOKUP(C208,'Member Details (HOF Only)'!$A$2:$U$219,4,FALSE)</f>
        <v>#N/A</v>
      </c>
      <c r="R208" s="13"/>
      <c r="S208" s="95" t="e">
        <f>VLOOKUP(C208,'Member Details (HOF Only)'!$A$2:$U$219,7,FALSE)</f>
        <v>#N/A</v>
      </c>
      <c r="T208" s="11">
        <f t="shared" si="3"/>
        <v>0</v>
      </c>
    </row>
    <row r="209" spans="1:20" x14ac:dyDescent="0.2">
      <c r="A209" s="18"/>
      <c r="B209" s="85"/>
      <c r="C209" s="19"/>
      <c r="D209" s="31"/>
      <c r="E209" s="24"/>
      <c r="F209" s="16"/>
      <c r="G209" s="16"/>
      <c r="H209" s="16"/>
      <c r="I209" s="16"/>
      <c r="J209" s="20"/>
      <c r="K209" s="25"/>
      <c r="L209" s="16"/>
      <c r="M209" s="16"/>
      <c r="N209" s="16"/>
      <c r="O209" s="16" t="str">
        <f>IF(ISNA(VLOOKUP(C209,'Auction Summary'!$P$3:$R$600,2,FALSE)),"",VLOOKUP(C209,'Auction Summary'!$P$3:$R$600,2,FALSE))</f>
        <v/>
      </c>
      <c r="P209" s="16"/>
      <c r="Q209" s="95" t="e">
        <f>VLOOKUP(C209,'Member Details (HOF Only)'!$A$2:$U$219,4,FALSE)</f>
        <v>#N/A</v>
      </c>
      <c r="R209" s="13"/>
      <c r="S209" s="95" t="e">
        <f>VLOOKUP(C209,'Member Details (HOF Only)'!$A$2:$U$219,7,FALSE)</f>
        <v>#N/A</v>
      </c>
      <c r="T209" s="11">
        <f t="shared" si="3"/>
        <v>0</v>
      </c>
    </row>
    <row r="210" spans="1:20" x14ac:dyDescent="0.2">
      <c r="A210" s="18"/>
      <c r="B210" s="85"/>
      <c r="C210" s="19"/>
      <c r="D210" s="31"/>
      <c r="E210" s="24"/>
      <c r="F210" s="16"/>
      <c r="G210" s="16"/>
      <c r="H210" s="16"/>
      <c r="I210" s="16"/>
      <c r="J210" s="20"/>
      <c r="K210" s="25"/>
      <c r="L210" s="16"/>
      <c r="M210" s="16"/>
      <c r="N210" s="16"/>
      <c r="O210" s="16" t="str">
        <f>IF(ISNA(VLOOKUP(C210,'Auction Summary'!$P$3:$R$600,2,FALSE)),"",VLOOKUP(C210,'Auction Summary'!$P$3:$R$600,2,FALSE))</f>
        <v/>
      </c>
      <c r="P210" s="16"/>
      <c r="Q210" s="95" t="e">
        <f>VLOOKUP(C210,'Member Details (HOF Only)'!$A$2:$U$219,4,FALSE)</f>
        <v>#N/A</v>
      </c>
      <c r="R210" s="13"/>
      <c r="S210" s="95" t="e">
        <f>VLOOKUP(C210,'Member Details (HOF Only)'!$A$2:$U$219,7,FALSE)</f>
        <v>#N/A</v>
      </c>
      <c r="T210" s="11">
        <f t="shared" si="3"/>
        <v>0</v>
      </c>
    </row>
    <row r="211" spans="1:20" x14ac:dyDescent="0.2">
      <c r="A211" s="18"/>
      <c r="B211" s="85"/>
      <c r="C211" s="19"/>
      <c r="D211" s="31"/>
      <c r="E211" s="24"/>
      <c r="F211" s="16"/>
      <c r="G211" s="16"/>
      <c r="H211" s="16"/>
      <c r="I211" s="16"/>
      <c r="J211" s="20"/>
      <c r="K211" s="25"/>
      <c r="L211" s="16"/>
      <c r="M211" s="16"/>
      <c r="N211" s="16"/>
      <c r="O211" s="16" t="str">
        <f>IF(ISNA(VLOOKUP(C211,'Auction Summary'!$P$3:$R$600,2,FALSE)),"",VLOOKUP(C211,'Auction Summary'!$P$3:$R$600,2,FALSE))</f>
        <v/>
      </c>
      <c r="P211" s="16"/>
      <c r="Q211" s="95" t="e">
        <f>VLOOKUP(C211,'Member Details (HOF Only)'!$A$2:$U$219,4,FALSE)</f>
        <v>#N/A</v>
      </c>
      <c r="R211" s="13"/>
      <c r="S211" s="95" t="e">
        <f>VLOOKUP(C211,'Member Details (HOF Only)'!$A$2:$U$219,7,FALSE)</f>
        <v>#N/A</v>
      </c>
      <c r="T211" s="11">
        <f t="shared" si="3"/>
        <v>0</v>
      </c>
    </row>
    <row r="212" spans="1:20" x14ac:dyDescent="0.2">
      <c r="A212" s="18"/>
      <c r="B212" s="85"/>
      <c r="C212" s="19"/>
      <c r="D212" s="31"/>
      <c r="E212" s="24"/>
      <c r="F212" s="16"/>
      <c r="G212" s="16"/>
      <c r="H212" s="16"/>
      <c r="I212" s="16"/>
      <c r="J212" s="20"/>
      <c r="K212" s="25"/>
      <c r="L212" s="16"/>
      <c r="M212" s="16"/>
      <c r="N212" s="16"/>
      <c r="O212" s="16" t="str">
        <f>IF(ISNA(VLOOKUP(C212,'Auction Summary'!$P$3:$R$600,2,FALSE)),"",VLOOKUP(C212,'Auction Summary'!$P$3:$R$600,2,FALSE))</f>
        <v/>
      </c>
      <c r="P212" s="16"/>
      <c r="Q212" s="95" t="e">
        <f>VLOOKUP(C212,'Member Details (HOF Only)'!$A$2:$U$219,4,FALSE)</f>
        <v>#N/A</v>
      </c>
      <c r="R212" s="13"/>
      <c r="S212" s="95" t="e">
        <f>VLOOKUP(C212,'Member Details (HOF Only)'!$A$2:$U$219,7,FALSE)</f>
        <v>#N/A</v>
      </c>
      <c r="T212" s="11">
        <f t="shared" si="3"/>
        <v>0</v>
      </c>
    </row>
    <row r="213" spans="1:20" x14ac:dyDescent="0.2">
      <c r="A213" s="18"/>
      <c r="B213" s="85"/>
      <c r="C213" s="19"/>
      <c r="D213" s="31"/>
      <c r="E213" s="24"/>
      <c r="F213" s="16"/>
      <c r="G213" s="16"/>
      <c r="H213" s="16"/>
      <c r="I213" s="16"/>
      <c r="J213" s="20"/>
      <c r="K213" s="25"/>
      <c r="L213" s="16"/>
      <c r="M213" s="16"/>
      <c r="N213" s="16"/>
      <c r="O213" s="16" t="str">
        <f>IF(ISNA(VLOOKUP(C213,'Auction Summary'!$P$3:$R$600,2,FALSE)),"",VLOOKUP(C213,'Auction Summary'!$P$3:$R$600,2,FALSE))</f>
        <v/>
      </c>
      <c r="P213" s="16"/>
      <c r="Q213" s="95" t="e">
        <f>VLOOKUP(C213,'Member Details (HOF Only)'!$A$2:$U$219,4,FALSE)</f>
        <v>#N/A</v>
      </c>
      <c r="R213" s="13"/>
      <c r="S213" s="95" t="e">
        <f>VLOOKUP(C213,'Member Details (HOF Only)'!$A$2:$U$219,7,FALSE)</f>
        <v>#N/A</v>
      </c>
      <c r="T213" s="11">
        <f t="shared" si="3"/>
        <v>0</v>
      </c>
    </row>
    <row r="214" spans="1:20" x14ac:dyDescent="0.2">
      <c r="A214" s="18"/>
      <c r="B214" s="85"/>
      <c r="C214" s="19"/>
      <c r="D214" s="31"/>
      <c r="E214" s="24"/>
      <c r="F214" s="16"/>
      <c r="G214" s="16"/>
      <c r="H214" s="16"/>
      <c r="I214" s="16"/>
      <c r="J214" s="20"/>
      <c r="K214" s="25"/>
      <c r="L214" s="16"/>
      <c r="M214" s="16"/>
      <c r="N214" s="16"/>
      <c r="O214" s="16" t="str">
        <f>IF(ISNA(VLOOKUP(C214,'Auction Summary'!$P$3:$R$600,2,FALSE)),"",VLOOKUP(C214,'Auction Summary'!$P$3:$R$600,2,FALSE))</f>
        <v/>
      </c>
      <c r="P214" s="16"/>
      <c r="Q214" s="95" t="e">
        <f>VLOOKUP(C214,'Member Details (HOF Only)'!$A$2:$U$219,4,FALSE)</f>
        <v>#N/A</v>
      </c>
      <c r="R214" s="13"/>
      <c r="S214" s="95" t="e">
        <f>VLOOKUP(C214,'Member Details (HOF Only)'!$A$2:$U$219,7,FALSE)</f>
        <v>#N/A</v>
      </c>
      <c r="T214" s="11">
        <f t="shared" si="3"/>
        <v>0</v>
      </c>
    </row>
    <row r="215" spans="1:20" x14ac:dyDescent="0.2">
      <c r="A215" s="18"/>
      <c r="B215" s="85"/>
      <c r="C215" s="19"/>
      <c r="D215" s="31"/>
      <c r="E215" s="24"/>
      <c r="F215" s="16"/>
      <c r="G215" s="16"/>
      <c r="H215" s="16"/>
      <c r="I215" s="16"/>
      <c r="J215" s="20"/>
      <c r="K215" s="25"/>
      <c r="L215" s="16"/>
      <c r="M215" s="16"/>
      <c r="N215" s="16"/>
      <c r="O215" s="16" t="str">
        <f>IF(ISNA(VLOOKUP(C215,'Auction Summary'!$P$3:$R$600,2,FALSE)),"",VLOOKUP(C215,'Auction Summary'!$P$3:$R$600,2,FALSE))</f>
        <v/>
      </c>
      <c r="P215" s="16"/>
      <c r="Q215" s="95" t="e">
        <f>VLOOKUP(C215,'Member Details (HOF Only)'!$A$2:$U$219,4,FALSE)</f>
        <v>#N/A</v>
      </c>
      <c r="R215" s="13"/>
      <c r="S215" s="95" t="e">
        <f>VLOOKUP(C215,'Member Details (HOF Only)'!$A$2:$U$219,7,FALSE)</f>
        <v>#N/A</v>
      </c>
      <c r="T215" s="11">
        <f t="shared" si="3"/>
        <v>0</v>
      </c>
    </row>
    <row r="216" spans="1:20" x14ac:dyDescent="0.2">
      <c r="A216" s="18"/>
      <c r="B216" s="85"/>
      <c r="C216" s="19"/>
      <c r="D216" s="31"/>
      <c r="E216" s="24"/>
      <c r="F216" s="16"/>
      <c r="G216" s="16"/>
      <c r="H216" s="16"/>
      <c r="I216" s="16"/>
      <c r="J216" s="20"/>
      <c r="K216" s="25"/>
      <c r="L216" s="16"/>
      <c r="M216" s="16"/>
      <c r="N216" s="16"/>
      <c r="O216" s="16" t="str">
        <f>IF(ISNA(VLOOKUP(C216,'Auction Summary'!$P$3:$R$600,2,FALSE)),"",VLOOKUP(C216,'Auction Summary'!$P$3:$R$600,2,FALSE))</f>
        <v/>
      </c>
      <c r="P216" s="16"/>
      <c r="Q216" s="95" t="e">
        <f>VLOOKUP(C216,'Member Details (HOF Only)'!$A$2:$U$219,4,FALSE)</f>
        <v>#N/A</v>
      </c>
      <c r="R216" s="13"/>
      <c r="S216" s="95" t="e">
        <f>VLOOKUP(C216,'Member Details (HOF Only)'!$A$2:$U$219,7,FALSE)</f>
        <v>#N/A</v>
      </c>
      <c r="T216" s="11">
        <f t="shared" si="3"/>
        <v>0</v>
      </c>
    </row>
    <row r="217" spans="1:20" x14ac:dyDescent="0.2">
      <c r="A217" s="18"/>
      <c r="B217" s="85"/>
      <c r="C217" s="19"/>
      <c r="D217" s="31"/>
      <c r="E217" s="24"/>
      <c r="F217" s="16"/>
      <c r="G217" s="16"/>
      <c r="H217" s="16"/>
      <c r="I217" s="16"/>
      <c r="J217" s="20"/>
      <c r="K217" s="25"/>
      <c r="L217" s="16"/>
      <c r="M217" s="16"/>
      <c r="N217" s="16"/>
      <c r="O217" s="16" t="str">
        <f>IF(ISNA(VLOOKUP(C217,'Auction Summary'!$P$3:$R$600,2,FALSE)),"",VLOOKUP(C217,'Auction Summary'!$P$3:$R$600,2,FALSE))</f>
        <v/>
      </c>
      <c r="P217" s="16"/>
      <c r="Q217" s="95" t="e">
        <f>VLOOKUP(C217,'Member Details (HOF Only)'!$A$2:$U$219,4,FALSE)</f>
        <v>#N/A</v>
      </c>
      <c r="R217" s="13"/>
      <c r="S217" s="95" t="e">
        <f>VLOOKUP(C217,'Member Details (HOF Only)'!$A$2:$U$219,7,FALSE)</f>
        <v>#N/A</v>
      </c>
      <c r="T217" s="11">
        <f t="shared" si="3"/>
        <v>0</v>
      </c>
    </row>
    <row r="218" spans="1:20" x14ac:dyDescent="0.2">
      <c r="A218" s="18"/>
      <c r="B218" s="85"/>
      <c r="C218" s="19"/>
      <c r="D218" s="31"/>
      <c r="E218" s="24"/>
      <c r="F218" s="16"/>
      <c r="G218" s="16"/>
      <c r="H218" s="16"/>
      <c r="I218" s="16"/>
      <c r="J218" s="20"/>
      <c r="K218" s="25"/>
      <c r="L218" s="16"/>
      <c r="M218" s="16"/>
      <c r="N218" s="16"/>
      <c r="O218" s="16" t="str">
        <f>IF(ISNA(VLOOKUP(C218,'Auction Summary'!$P$3:$R$600,2,FALSE)),"",VLOOKUP(C218,'Auction Summary'!$P$3:$R$600,2,FALSE))</f>
        <v/>
      </c>
      <c r="P218" s="16"/>
      <c r="Q218" s="95" t="e">
        <f>VLOOKUP(C218,'Member Details (HOF Only)'!$A$2:$U$219,4,FALSE)</f>
        <v>#N/A</v>
      </c>
      <c r="R218" s="13"/>
      <c r="S218" s="95" t="e">
        <f>VLOOKUP(C218,'Member Details (HOF Only)'!$A$2:$U$219,7,FALSE)</f>
        <v>#N/A</v>
      </c>
      <c r="T218" s="11">
        <f t="shared" si="3"/>
        <v>0</v>
      </c>
    </row>
    <row r="219" spans="1:20" x14ac:dyDescent="0.2">
      <c r="A219" s="18"/>
      <c r="B219" s="85"/>
      <c r="C219" s="19"/>
      <c r="D219" s="31"/>
      <c r="E219" s="24"/>
      <c r="F219" s="16"/>
      <c r="G219" s="16"/>
      <c r="H219" s="16"/>
      <c r="I219" s="16"/>
      <c r="J219" s="20"/>
      <c r="K219" s="25"/>
      <c r="L219" s="16"/>
      <c r="M219" s="16"/>
      <c r="N219" s="16"/>
      <c r="O219" s="16" t="str">
        <f>IF(ISNA(VLOOKUP(C219,'Auction Summary'!$P$3:$R$600,2,FALSE)),"",VLOOKUP(C219,'Auction Summary'!$P$3:$R$600,2,FALSE))</f>
        <v/>
      </c>
      <c r="P219" s="16"/>
      <c r="Q219" s="95" t="e">
        <f>VLOOKUP(C219,'Member Details (HOF Only)'!$A$2:$U$219,4,FALSE)</f>
        <v>#N/A</v>
      </c>
      <c r="R219" s="13"/>
      <c r="S219" s="95" t="e">
        <f>VLOOKUP(C219,'Member Details (HOF Only)'!$A$2:$U$219,7,FALSE)</f>
        <v>#N/A</v>
      </c>
      <c r="T219" s="11">
        <f t="shared" si="3"/>
        <v>0</v>
      </c>
    </row>
    <row r="220" spans="1:20" x14ac:dyDescent="0.2">
      <c r="A220" s="18"/>
      <c r="B220" s="85"/>
      <c r="C220" s="19"/>
      <c r="D220" s="31"/>
      <c r="E220" s="24"/>
      <c r="F220" s="16"/>
      <c r="G220" s="16"/>
      <c r="H220" s="16"/>
      <c r="I220" s="16"/>
      <c r="J220" s="20"/>
      <c r="K220" s="25"/>
      <c r="L220" s="16"/>
      <c r="M220" s="16"/>
      <c r="N220" s="16"/>
      <c r="O220" s="16" t="str">
        <f>IF(ISNA(VLOOKUP(C220,'Auction Summary'!$P$3:$R$600,2,FALSE)),"",VLOOKUP(C220,'Auction Summary'!$P$3:$R$600,2,FALSE))</f>
        <v/>
      </c>
      <c r="P220" s="16"/>
      <c r="Q220" s="95" t="e">
        <f>VLOOKUP(C220,'Member Details (HOF Only)'!$A$2:$U$219,4,FALSE)</f>
        <v>#N/A</v>
      </c>
      <c r="R220" s="13"/>
      <c r="S220" s="95" t="e">
        <f>VLOOKUP(C220,'Member Details (HOF Only)'!$A$2:$U$219,7,FALSE)</f>
        <v>#N/A</v>
      </c>
      <c r="T220" s="11">
        <f t="shared" si="3"/>
        <v>0</v>
      </c>
    </row>
    <row r="221" spans="1:20" x14ac:dyDescent="0.2">
      <c r="A221" s="18"/>
      <c r="B221" s="85"/>
      <c r="C221" s="19"/>
      <c r="D221" s="31"/>
      <c r="E221" s="24"/>
      <c r="F221" s="16"/>
      <c r="G221" s="16"/>
      <c r="H221" s="16"/>
      <c r="I221" s="16"/>
      <c r="J221" s="20"/>
      <c r="K221" s="25"/>
      <c r="L221" s="16"/>
      <c r="M221" s="16"/>
      <c r="N221" s="16"/>
      <c r="O221" s="16" t="str">
        <f>IF(ISNA(VLOOKUP(C221,'Auction Summary'!$P$3:$R$600,2,FALSE)),"",VLOOKUP(C221,'Auction Summary'!$P$3:$R$600,2,FALSE))</f>
        <v/>
      </c>
      <c r="P221" s="16"/>
      <c r="Q221" s="95" t="e">
        <f>VLOOKUP(C221,'Member Details (HOF Only)'!$A$2:$U$219,4,FALSE)</f>
        <v>#N/A</v>
      </c>
      <c r="R221" s="13"/>
      <c r="S221" s="95" t="e">
        <f>VLOOKUP(C221,'Member Details (HOF Only)'!$A$2:$U$219,7,FALSE)</f>
        <v>#N/A</v>
      </c>
      <c r="T221" s="11">
        <f t="shared" si="3"/>
        <v>0</v>
      </c>
    </row>
    <row r="222" spans="1:20" x14ac:dyDescent="0.2">
      <c r="A222" s="18"/>
      <c r="B222" s="85"/>
      <c r="C222" s="19"/>
      <c r="D222" s="31"/>
      <c r="E222" s="24"/>
      <c r="F222" s="16"/>
      <c r="G222" s="16"/>
      <c r="H222" s="16"/>
      <c r="I222" s="16"/>
      <c r="J222" s="20"/>
      <c r="K222" s="25"/>
      <c r="L222" s="16"/>
      <c r="M222" s="16"/>
      <c r="N222" s="16"/>
      <c r="O222" s="16" t="str">
        <f>IF(ISNA(VLOOKUP(C222,'Auction Summary'!$P$3:$R$600,2,FALSE)),"",VLOOKUP(C222,'Auction Summary'!$P$3:$R$600,2,FALSE))</f>
        <v/>
      </c>
      <c r="P222" s="16"/>
      <c r="Q222" s="95" t="e">
        <f>VLOOKUP(C222,'Member Details (HOF Only)'!$A$2:$U$219,4,FALSE)</f>
        <v>#N/A</v>
      </c>
      <c r="R222" s="13"/>
      <c r="S222" s="95" t="e">
        <f>VLOOKUP(C222,'Member Details (HOF Only)'!$A$2:$U$219,7,FALSE)</f>
        <v>#N/A</v>
      </c>
      <c r="T222" s="11">
        <f t="shared" si="3"/>
        <v>0</v>
      </c>
    </row>
    <row r="223" spans="1:20" x14ac:dyDescent="0.2">
      <c r="A223" s="18"/>
      <c r="B223" s="85"/>
      <c r="C223" s="19"/>
      <c r="D223" s="31"/>
      <c r="E223" s="24"/>
      <c r="F223" s="16"/>
      <c r="G223" s="16"/>
      <c r="H223" s="16"/>
      <c r="I223" s="16"/>
      <c r="J223" s="20"/>
      <c r="K223" s="25"/>
      <c r="L223" s="16"/>
      <c r="M223" s="16"/>
      <c r="N223" s="16"/>
      <c r="O223" s="16" t="str">
        <f>IF(ISNA(VLOOKUP(C223,'Auction Summary'!$P$3:$R$600,2,FALSE)),"",VLOOKUP(C223,'Auction Summary'!$P$3:$R$600,2,FALSE))</f>
        <v/>
      </c>
      <c r="P223" s="16"/>
      <c r="Q223" s="95" t="e">
        <f>VLOOKUP(C223,'Member Details (HOF Only)'!$A$2:$U$219,4,FALSE)</f>
        <v>#N/A</v>
      </c>
      <c r="R223" s="13"/>
      <c r="S223" s="95" t="e">
        <f>VLOOKUP(C223,'Member Details (HOF Only)'!$A$2:$U$219,7,FALSE)</f>
        <v>#N/A</v>
      </c>
      <c r="T223" s="11">
        <f t="shared" si="3"/>
        <v>0</v>
      </c>
    </row>
    <row r="224" spans="1:20" x14ac:dyDescent="0.2">
      <c r="A224" s="18"/>
      <c r="B224" s="85"/>
      <c r="C224" s="19"/>
      <c r="D224" s="31"/>
      <c r="E224" s="24"/>
      <c r="F224" s="16"/>
      <c r="G224" s="16"/>
      <c r="H224" s="16"/>
      <c r="I224" s="16"/>
      <c r="J224" s="20"/>
      <c r="K224" s="25"/>
      <c r="L224" s="16"/>
      <c r="M224" s="16"/>
      <c r="N224" s="16"/>
      <c r="O224" s="16" t="str">
        <f>IF(ISNA(VLOOKUP(C224,'Auction Summary'!$P$3:$R$600,2,FALSE)),"",VLOOKUP(C224,'Auction Summary'!$P$3:$R$600,2,FALSE))</f>
        <v/>
      </c>
      <c r="P224" s="16"/>
      <c r="Q224" s="95" t="e">
        <f>VLOOKUP(C224,'Member Details (HOF Only)'!$A$2:$U$219,4,FALSE)</f>
        <v>#N/A</v>
      </c>
      <c r="R224" s="13"/>
      <c r="S224" s="95" t="e">
        <f>VLOOKUP(C224,'Member Details (HOF Only)'!$A$2:$U$219,7,FALSE)</f>
        <v>#N/A</v>
      </c>
      <c r="T224" s="11">
        <f t="shared" si="3"/>
        <v>0</v>
      </c>
    </row>
    <row r="225" spans="1:20" ht="15" x14ac:dyDescent="0.25">
      <c r="A225" s="18"/>
      <c r="B225" s="85"/>
      <c r="C225" s="19"/>
      <c r="D225" s="31"/>
      <c r="E225" s="24"/>
      <c r="F225" s="16"/>
      <c r="G225" s="16"/>
      <c r="H225" s="16"/>
      <c r="I225" s="16"/>
      <c r="J225" s="20"/>
      <c r="K225" s="25"/>
      <c r="L225" s="16"/>
      <c r="M225" s="16"/>
      <c r="N225" s="16"/>
      <c r="O225" s="16" t="str">
        <f>IF(ISNA(VLOOKUP(C225,'Auction Summary'!$P$3:$R$600,2,FALSE)),"",VLOOKUP(C225,'Auction Summary'!$P$3:$R$600,2,FALSE))</f>
        <v/>
      </c>
      <c r="P225" s="86"/>
      <c r="Q225" s="95" t="e">
        <f>VLOOKUP(C225,'Member Details (HOF Only)'!$A$2:$U$219,4,FALSE)</f>
        <v>#N/A</v>
      </c>
      <c r="R225" s="13"/>
      <c r="S225" s="95" t="e">
        <f>VLOOKUP(C225,'Member Details (HOF Only)'!$A$2:$U$219,7,FALSE)</f>
        <v>#N/A</v>
      </c>
      <c r="T225" s="11">
        <f t="shared" si="3"/>
        <v>0</v>
      </c>
    </row>
    <row r="226" spans="1:20" x14ac:dyDescent="0.2">
      <c r="A226" s="18"/>
      <c r="B226" s="85"/>
      <c r="C226" s="19"/>
      <c r="D226" s="31"/>
      <c r="E226" s="24"/>
      <c r="F226" s="16"/>
      <c r="G226" s="16"/>
      <c r="H226" s="16"/>
      <c r="I226" s="16"/>
      <c r="J226" s="20"/>
      <c r="K226" s="25"/>
      <c r="L226" s="16"/>
      <c r="M226" s="16"/>
      <c r="N226" s="16"/>
      <c r="O226" s="16" t="str">
        <f>IF(ISNA(VLOOKUP(C226,'Auction Summary'!$P$3:$R$600,2,FALSE)),"",VLOOKUP(C226,'Auction Summary'!$P$3:$R$600,2,FALSE))</f>
        <v/>
      </c>
      <c r="P226" s="16"/>
      <c r="Q226" s="95" t="e">
        <f>VLOOKUP(C226,'Member Details (HOF Only)'!$A$2:$U$219,4,FALSE)</f>
        <v>#N/A</v>
      </c>
      <c r="R226" s="13"/>
      <c r="S226" s="95" t="e">
        <f>VLOOKUP(C226,'Member Details (HOF Only)'!$A$2:$U$219,7,FALSE)</f>
        <v>#N/A</v>
      </c>
      <c r="T226" s="11">
        <f t="shared" si="3"/>
        <v>0</v>
      </c>
    </row>
    <row r="227" spans="1:20" x14ac:dyDescent="0.2">
      <c r="A227" s="18"/>
      <c r="B227" s="85"/>
      <c r="C227" s="19"/>
      <c r="D227" s="31"/>
      <c r="E227" s="24"/>
      <c r="F227" s="16"/>
      <c r="G227" s="16"/>
      <c r="H227" s="16"/>
      <c r="I227" s="16"/>
      <c r="J227" s="20"/>
      <c r="K227" s="25"/>
      <c r="L227" s="16"/>
      <c r="M227" s="16"/>
      <c r="N227" s="16"/>
      <c r="O227" s="16" t="str">
        <f>IF(ISNA(VLOOKUP(C227,'Auction Summary'!$P$3:$R$600,2,FALSE)),"",VLOOKUP(C227,'Auction Summary'!$P$3:$R$600,2,FALSE))</f>
        <v/>
      </c>
      <c r="P227" s="16"/>
      <c r="Q227" s="95" t="e">
        <f>VLOOKUP(C227,'Member Details (HOF Only)'!$A$2:$U$219,4,FALSE)</f>
        <v>#N/A</v>
      </c>
      <c r="R227" s="13"/>
      <c r="S227" s="95" t="e">
        <f>VLOOKUP(C227,'Member Details (HOF Only)'!$A$2:$U$219,7,FALSE)</f>
        <v>#N/A</v>
      </c>
      <c r="T227" s="11">
        <f t="shared" si="3"/>
        <v>0</v>
      </c>
    </row>
    <row r="228" spans="1:20" x14ac:dyDescent="0.2">
      <c r="A228" s="18"/>
      <c r="B228" s="85"/>
      <c r="C228" s="19"/>
      <c r="D228" s="31"/>
      <c r="E228" s="24"/>
      <c r="F228" s="16"/>
      <c r="G228" s="16"/>
      <c r="H228" s="16"/>
      <c r="I228" s="16"/>
      <c r="J228" s="20"/>
      <c r="K228" s="25"/>
      <c r="L228" s="16"/>
      <c r="M228" s="16"/>
      <c r="N228" s="16"/>
      <c r="O228" s="16" t="str">
        <f>IF(ISNA(VLOOKUP(C228,'Auction Summary'!$P$3:$R$600,2,FALSE)),"",VLOOKUP(C228,'Auction Summary'!$P$3:$R$600,2,FALSE))</f>
        <v/>
      </c>
      <c r="P228" s="16"/>
      <c r="Q228" s="95" t="e">
        <f>VLOOKUP(C228,'Member Details (HOF Only)'!$A$2:$U$219,4,FALSE)</f>
        <v>#N/A</v>
      </c>
      <c r="R228" s="13"/>
      <c r="S228" s="95" t="e">
        <f>VLOOKUP(C228,'Member Details (HOF Only)'!$A$2:$U$219,7,FALSE)</f>
        <v>#N/A</v>
      </c>
      <c r="T228" s="11">
        <f t="shared" si="3"/>
        <v>0</v>
      </c>
    </row>
    <row r="229" spans="1:20" x14ac:dyDescent="0.2">
      <c r="A229" s="18"/>
      <c r="B229" s="85"/>
      <c r="C229" s="19"/>
      <c r="D229" s="31"/>
      <c r="E229" s="24"/>
      <c r="F229" s="16"/>
      <c r="G229" s="16"/>
      <c r="H229" s="16"/>
      <c r="I229" s="16"/>
      <c r="J229" s="20"/>
      <c r="K229" s="25"/>
      <c r="L229" s="16"/>
      <c r="M229" s="16"/>
      <c r="N229" s="16"/>
      <c r="O229" s="16" t="str">
        <f>IF(ISNA(VLOOKUP(C229,'Auction Summary'!$P$3:$R$600,2,FALSE)),"",VLOOKUP(C229,'Auction Summary'!$P$3:$R$600,2,FALSE))</f>
        <v/>
      </c>
      <c r="P229" s="16"/>
      <c r="Q229" s="95" t="e">
        <f>VLOOKUP(C229,'Member Details (HOF Only)'!$A$2:$U$219,4,FALSE)</f>
        <v>#N/A</v>
      </c>
      <c r="R229" s="13"/>
      <c r="S229" s="95" t="e">
        <f>VLOOKUP(C229,'Member Details (HOF Only)'!$A$2:$U$219,7,FALSE)</f>
        <v>#N/A</v>
      </c>
      <c r="T229" s="11">
        <f t="shared" si="3"/>
        <v>0</v>
      </c>
    </row>
    <row r="230" spans="1:20" x14ac:dyDescent="0.2">
      <c r="A230" s="18"/>
      <c r="B230" s="85"/>
      <c r="C230" s="19"/>
      <c r="D230" s="31"/>
      <c r="E230" s="24"/>
      <c r="F230" s="16"/>
      <c r="G230" s="16"/>
      <c r="H230" s="16"/>
      <c r="I230" s="16"/>
      <c r="J230" s="20"/>
      <c r="K230" s="25"/>
      <c r="L230" s="16"/>
      <c r="M230" s="16"/>
      <c r="N230" s="16"/>
      <c r="O230" s="16" t="str">
        <f>IF(ISNA(VLOOKUP(C230,'Auction Summary'!$P$3:$R$600,2,FALSE)),"",VLOOKUP(C230,'Auction Summary'!$P$3:$R$600,2,FALSE))</f>
        <v/>
      </c>
      <c r="P230" s="16"/>
      <c r="Q230" s="95" t="e">
        <f>VLOOKUP(C230,'Member Details (HOF Only)'!$A$2:$U$219,4,FALSE)</f>
        <v>#N/A</v>
      </c>
      <c r="R230" s="13"/>
      <c r="S230" s="95" t="e">
        <f>VLOOKUP(C230,'Member Details (HOF Only)'!$A$2:$U$219,7,FALSE)</f>
        <v>#N/A</v>
      </c>
      <c r="T230" s="11">
        <f t="shared" si="3"/>
        <v>0</v>
      </c>
    </row>
    <row r="231" spans="1:20" x14ac:dyDescent="0.2">
      <c r="A231" s="18"/>
      <c r="B231" s="85"/>
      <c r="C231" s="19"/>
      <c r="D231" s="31"/>
      <c r="E231" s="24"/>
      <c r="F231" s="16"/>
      <c r="G231" s="16"/>
      <c r="H231" s="16"/>
      <c r="I231" s="16"/>
      <c r="J231" s="20"/>
      <c r="K231" s="25"/>
      <c r="L231" s="16"/>
      <c r="M231" s="16"/>
      <c r="N231" s="16"/>
      <c r="O231" s="16" t="str">
        <f>IF(ISNA(VLOOKUP(C231,'Auction Summary'!$P$3:$R$600,2,FALSE)),"",VLOOKUP(C231,'Auction Summary'!$P$3:$R$600,2,FALSE))</f>
        <v/>
      </c>
      <c r="P231" s="16"/>
      <c r="Q231" s="95" t="e">
        <f>VLOOKUP(C231,'Member Details (HOF Only)'!$A$2:$U$219,4,FALSE)</f>
        <v>#N/A</v>
      </c>
      <c r="R231" s="13"/>
      <c r="S231" s="95" t="e">
        <f>VLOOKUP(C231,'Member Details (HOF Only)'!$A$2:$U$219,7,FALSE)</f>
        <v>#N/A</v>
      </c>
      <c r="T231" s="11">
        <f t="shared" si="3"/>
        <v>0</v>
      </c>
    </row>
    <row r="232" spans="1:20" x14ac:dyDescent="0.2">
      <c r="A232" s="18"/>
      <c r="B232" s="85"/>
      <c r="C232" s="19"/>
      <c r="D232" s="31"/>
      <c r="E232" s="24"/>
      <c r="F232" s="16"/>
      <c r="G232" s="16"/>
      <c r="H232" s="16"/>
      <c r="I232" s="16"/>
      <c r="J232" s="20"/>
      <c r="K232" s="25"/>
      <c r="L232" s="16"/>
      <c r="M232" s="16"/>
      <c r="N232" s="16"/>
      <c r="O232" s="16" t="str">
        <f>IF(ISNA(VLOOKUP(C232,'Auction Summary'!$P$3:$R$600,2,FALSE)),"",VLOOKUP(C232,'Auction Summary'!$P$3:$R$600,2,FALSE))</f>
        <v/>
      </c>
      <c r="P232" s="16"/>
      <c r="Q232" s="95" t="e">
        <f>VLOOKUP(C232,'Member Details (HOF Only)'!$A$2:$U$219,4,FALSE)</f>
        <v>#N/A</v>
      </c>
      <c r="R232" s="13"/>
      <c r="S232" s="95" t="e">
        <f>VLOOKUP(C232,'Member Details (HOF Only)'!$A$2:$U$219,7,FALSE)</f>
        <v>#N/A</v>
      </c>
      <c r="T232" s="11">
        <f t="shared" si="3"/>
        <v>0</v>
      </c>
    </row>
    <row r="233" spans="1:20" x14ac:dyDescent="0.2">
      <c r="A233" s="18"/>
      <c r="B233" s="85"/>
      <c r="C233" s="19"/>
      <c r="D233" s="31"/>
      <c r="E233" s="24"/>
      <c r="F233" s="16"/>
      <c r="G233" s="16"/>
      <c r="H233" s="16"/>
      <c r="I233" s="16"/>
      <c r="J233" s="20"/>
      <c r="K233" s="25"/>
      <c r="L233" s="16"/>
      <c r="M233" s="16"/>
      <c r="N233" s="16"/>
      <c r="O233" s="16" t="str">
        <f>IF(ISNA(VLOOKUP(C233,'Auction Summary'!$P$3:$R$600,2,FALSE)),"",VLOOKUP(C233,'Auction Summary'!$P$3:$R$600,2,FALSE))</f>
        <v/>
      </c>
      <c r="P233" s="16"/>
      <c r="Q233" s="95" t="e">
        <f>VLOOKUP(C233,'Member Details (HOF Only)'!$A$2:$U$219,4,FALSE)</f>
        <v>#N/A</v>
      </c>
      <c r="R233" s="13"/>
      <c r="S233" s="95" t="e">
        <f>VLOOKUP(C233,'Member Details (HOF Only)'!$A$2:$U$219,7,FALSE)</f>
        <v>#N/A</v>
      </c>
      <c r="T233" s="11">
        <f t="shared" si="3"/>
        <v>0</v>
      </c>
    </row>
    <row r="234" spans="1:20" x14ac:dyDescent="0.2">
      <c r="A234" s="18"/>
      <c r="B234" s="85"/>
      <c r="C234" s="19"/>
      <c r="D234" s="31"/>
      <c r="E234" s="24"/>
      <c r="F234" s="16"/>
      <c r="G234" s="16"/>
      <c r="H234" s="16"/>
      <c r="I234" s="16"/>
      <c r="J234" s="20"/>
      <c r="K234" s="25"/>
      <c r="L234" s="16"/>
      <c r="M234" s="16"/>
      <c r="N234" s="16"/>
      <c r="O234" s="16" t="str">
        <f>IF(ISNA(VLOOKUP(C234,'Auction Summary'!$P$3:$R$600,2,FALSE)),"",VLOOKUP(C234,'Auction Summary'!$P$3:$R$600,2,FALSE))</f>
        <v/>
      </c>
      <c r="P234" s="16"/>
      <c r="Q234" s="95" t="e">
        <f>VLOOKUP(C234,'Member Details (HOF Only)'!$A$2:$U$219,4,FALSE)</f>
        <v>#N/A</v>
      </c>
      <c r="R234" s="13"/>
      <c r="S234" s="95" t="e">
        <f>VLOOKUP(C234,'Member Details (HOF Only)'!$A$2:$U$219,7,FALSE)</f>
        <v>#N/A</v>
      </c>
      <c r="T234" s="11">
        <f t="shared" si="3"/>
        <v>0</v>
      </c>
    </row>
    <row r="235" spans="1:20" x14ac:dyDescent="0.2">
      <c r="A235" s="18"/>
      <c r="B235" s="85"/>
      <c r="C235" s="19"/>
      <c r="D235" s="31"/>
      <c r="E235" s="24"/>
      <c r="F235" s="16"/>
      <c r="G235" s="16"/>
      <c r="H235" s="16"/>
      <c r="I235" s="16"/>
      <c r="J235" s="20"/>
      <c r="K235" s="25"/>
      <c r="L235" s="16"/>
      <c r="M235" s="16"/>
      <c r="N235" s="16"/>
      <c r="O235" s="16" t="str">
        <f>IF(ISNA(VLOOKUP(C235,'Auction Summary'!$P$3:$R$600,2,FALSE)),"",VLOOKUP(C235,'Auction Summary'!$P$3:$R$600,2,FALSE))</f>
        <v/>
      </c>
      <c r="P235" s="16"/>
      <c r="Q235" s="95" t="e">
        <f>VLOOKUP(C235,'Member Details (HOF Only)'!$A$2:$U$219,4,FALSE)</f>
        <v>#N/A</v>
      </c>
      <c r="R235" s="13"/>
      <c r="S235" s="95" t="e">
        <f>VLOOKUP(C235,'Member Details (HOF Only)'!$A$2:$U$219,7,FALSE)</f>
        <v>#N/A</v>
      </c>
      <c r="T235" s="11">
        <f t="shared" si="3"/>
        <v>0</v>
      </c>
    </row>
    <row r="236" spans="1:20" x14ac:dyDescent="0.2">
      <c r="A236" s="18"/>
      <c r="B236" s="85"/>
      <c r="C236" s="19"/>
      <c r="D236" s="31"/>
      <c r="E236" s="24"/>
      <c r="F236" s="16"/>
      <c r="G236" s="16"/>
      <c r="H236" s="16"/>
      <c r="I236" s="16"/>
      <c r="J236" s="20"/>
      <c r="K236" s="25"/>
      <c r="L236" s="16"/>
      <c r="M236" s="16"/>
      <c r="N236" s="16"/>
      <c r="O236" s="16" t="str">
        <f>IF(ISNA(VLOOKUP(C236,'Auction Summary'!$P$3:$R$600,2,FALSE)),"",VLOOKUP(C236,'Auction Summary'!$P$3:$R$600,2,FALSE))</f>
        <v/>
      </c>
      <c r="P236" s="16"/>
      <c r="Q236" s="95" t="e">
        <f>VLOOKUP(C236,'Member Details (HOF Only)'!$A$2:$U$219,4,FALSE)</f>
        <v>#N/A</v>
      </c>
      <c r="R236" s="13"/>
      <c r="S236" s="95" t="e">
        <f>VLOOKUP(C236,'Member Details (HOF Only)'!$A$2:$U$219,7,FALSE)</f>
        <v>#N/A</v>
      </c>
      <c r="T236" s="11">
        <f t="shared" si="3"/>
        <v>0</v>
      </c>
    </row>
    <row r="237" spans="1:20" x14ac:dyDescent="0.2">
      <c r="A237" s="18"/>
      <c r="B237" s="85"/>
      <c r="C237" s="19"/>
      <c r="D237" s="31"/>
      <c r="E237" s="24"/>
      <c r="F237" s="16"/>
      <c r="G237" s="16"/>
      <c r="H237" s="16"/>
      <c r="I237" s="16"/>
      <c r="J237" s="20"/>
      <c r="K237" s="25"/>
      <c r="L237" s="16"/>
      <c r="M237" s="16"/>
      <c r="N237" s="16"/>
      <c r="O237" s="16" t="str">
        <f>IF(ISNA(VLOOKUP(C237,'Auction Summary'!$P$3:$R$600,2,FALSE)),"",VLOOKUP(C237,'Auction Summary'!$P$3:$R$600,2,FALSE))</f>
        <v/>
      </c>
      <c r="P237" s="16"/>
      <c r="Q237" s="95" t="e">
        <f>VLOOKUP(C237,'Member Details (HOF Only)'!$A$2:$U$219,4,FALSE)</f>
        <v>#N/A</v>
      </c>
      <c r="R237" s="13"/>
      <c r="S237" s="95" t="e">
        <f>VLOOKUP(C237,'Member Details (HOF Only)'!$A$2:$U$219,7,FALSE)</f>
        <v>#N/A</v>
      </c>
      <c r="T237" s="11">
        <f t="shared" si="3"/>
        <v>0</v>
      </c>
    </row>
    <row r="238" spans="1:20" x14ac:dyDescent="0.2">
      <c r="A238" s="18"/>
      <c r="B238" s="85"/>
      <c r="C238" s="19"/>
      <c r="D238" s="31"/>
      <c r="E238" s="24"/>
      <c r="F238" s="16"/>
      <c r="G238" s="16"/>
      <c r="H238" s="16"/>
      <c r="I238" s="16"/>
      <c r="J238" s="20"/>
      <c r="K238" s="25"/>
      <c r="L238" s="16"/>
      <c r="M238" s="16"/>
      <c r="N238" s="16"/>
      <c r="O238" s="16" t="str">
        <f>IF(ISNA(VLOOKUP(C238,'Auction Summary'!$P$3:$R$600,2,FALSE)),"",VLOOKUP(C238,'Auction Summary'!$P$3:$R$600,2,FALSE))</f>
        <v/>
      </c>
      <c r="P238" s="16"/>
      <c r="Q238" s="95" t="e">
        <f>VLOOKUP(C238,'Member Details (HOF Only)'!$A$2:$U$219,4,FALSE)</f>
        <v>#N/A</v>
      </c>
      <c r="R238" s="13"/>
      <c r="S238" s="95" t="e">
        <f>VLOOKUP(C238,'Member Details (HOF Only)'!$A$2:$U$219,7,FALSE)</f>
        <v>#N/A</v>
      </c>
      <c r="T238" s="11">
        <f t="shared" si="3"/>
        <v>0</v>
      </c>
    </row>
    <row r="239" spans="1:20" x14ac:dyDescent="0.2">
      <c r="A239" s="18"/>
      <c r="B239" s="85"/>
      <c r="C239" s="19"/>
      <c r="D239" s="31"/>
      <c r="E239" s="24"/>
      <c r="F239" s="16"/>
      <c r="G239" s="16"/>
      <c r="H239" s="16"/>
      <c r="I239" s="16"/>
      <c r="J239" s="20"/>
      <c r="K239" s="25"/>
      <c r="L239" s="16"/>
      <c r="M239" s="16"/>
      <c r="N239" s="16"/>
      <c r="O239" s="16" t="str">
        <f>IF(ISNA(VLOOKUP(C239,'Auction Summary'!$P$3:$R$600,2,FALSE)),"",VLOOKUP(C239,'Auction Summary'!$P$3:$R$600,2,FALSE))</f>
        <v/>
      </c>
      <c r="P239" s="16"/>
      <c r="Q239" s="95" t="e">
        <f>VLOOKUP(C239,'Member Details (HOF Only)'!$A$2:$U$219,4,FALSE)</f>
        <v>#N/A</v>
      </c>
      <c r="R239" s="13"/>
      <c r="S239" s="95" t="e">
        <f>VLOOKUP(C239,'Member Details (HOF Only)'!$A$2:$U$219,7,FALSE)</f>
        <v>#N/A</v>
      </c>
      <c r="T239" s="11">
        <f t="shared" si="3"/>
        <v>0</v>
      </c>
    </row>
    <row r="240" spans="1:20" x14ac:dyDescent="0.2">
      <c r="A240" s="18"/>
      <c r="B240" s="85"/>
      <c r="C240" s="19"/>
      <c r="D240" s="31"/>
      <c r="E240" s="24"/>
      <c r="F240" s="16"/>
      <c r="G240" s="16"/>
      <c r="H240" s="16"/>
      <c r="I240" s="16"/>
      <c r="J240" s="20"/>
      <c r="K240" s="25"/>
      <c r="L240" s="16"/>
      <c r="M240" s="16"/>
      <c r="N240" s="16"/>
      <c r="O240" s="16" t="str">
        <f>IF(ISNA(VLOOKUP(C240,'Auction Summary'!$P$3:$R$600,2,FALSE)),"",VLOOKUP(C240,'Auction Summary'!$P$3:$R$600,2,FALSE))</f>
        <v/>
      </c>
      <c r="P240" s="16"/>
      <c r="Q240" s="95" t="e">
        <f>VLOOKUP(C240,'Member Details (HOF Only)'!$A$2:$U$219,4,FALSE)</f>
        <v>#N/A</v>
      </c>
      <c r="R240" s="13"/>
      <c r="S240" s="95" t="e">
        <f>VLOOKUP(C240,'Member Details (HOF Only)'!$A$2:$U$219,7,FALSE)</f>
        <v>#N/A</v>
      </c>
      <c r="T240" s="11">
        <f t="shared" si="3"/>
        <v>0</v>
      </c>
    </row>
    <row r="241" spans="1:20" x14ac:dyDescent="0.2">
      <c r="A241" s="18"/>
      <c r="B241" s="85"/>
      <c r="C241" s="19"/>
      <c r="D241" s="31"/>
      <c r="E241" s="24"/>
      <c r="F241" s="16"/>
      <c r="G241" s="16"/>
      <c r="H241" s="16"/>
      <c r="I241" s="16"/>
      <c r="J241" s="20"/>
      <c r="K241" s="25"/>
      <c r="L241" s="16"/>
      <c r="M241" s="16"/>
      <c r="N241" s="16"/>
      <c r="O241" s="16" t="str">
        <f>IF(ISNA(VLOOKUP(C241,'Auction Summary'!$P$3:$R$600,2,FALSE)),"",VLOOKUP(C241,'Auction Summary'!$P$3:$R$600,2,FALSE))</f>
        <v/>
      </c>
      <c r="P241" s="16"/>
      <c r="Q241" s="95" t="e">
        <f>VLOOKUP(C241,'Member Details (HOF Only)'!$A$2:$U$219,4,FALSE)</f>
        <v>#N/A</v>
      </c>
      <c r="R241" s="13"/>
      <c r="S241" s="95" t="e">
        <f>VLOOKUP(C241,'Member Details (HOF Only)'!$A$2:$U$219,7,FALSE)</f>
        <v>#N/A</v>
      </c>
      <c r="T241" s="11">
        <f t="shared" si="3"/>
        <v>0</v>
      </c>
    </row>
    <row r="242" spans="1:20" x14ac:dyDescent="0.2">
      <c r="A242" s="18"/>
      <c r="B242" s="85"/>
      <c r="C242" s="19"/>
      <c r="D242" s="31"/>
      <c r="E242" s="24"/>
      <c r="F242" s="16"/>
      <c r="G242" s="16"/>
      <c r="H242" s="16"/>
      <c r="I242" s="16"/>
      <c r="J242" s="20"/>
      <c r="K242" s="25"/>
      <c r="L242" s="16"/>
      <c r="M242" s="16"/>
      <c r="N242" s="16"/>
      <c r="O242" s="16" t="str">
        <f>IF(ISNA(VLOOKUP(C242,'Auction Summary'!$P$3:$R$600,2,FALSE)),"",VLOOKUP(C242,'Auction Summary'!$P$3:$R$600,2,FALSE))</f>
        <v/>
      </c>
      <c r="P242" s="16"/>
      <c r="Q242" s="95" t="e">
        <f>VLOOKUP(C242,'Member Details (HOF Only)'!$A$2:$U$219,4,FALSE)</f>
        <v>#N/A</v>
      </c>
      <c r="R242" s="13"/>
      <c r="S242" s="95" t="e">
        <f>VLOOKUP(C242,'Member Details (HOF Only)'!$A$2:$U$219,7,FALSE)</f>
        <v>#N/A</v>
      </c>
      <c r="T242" s="11">
        <f t="shared" si="3"/>
        <v>0</v>
      </c>
    </row>
    <row r="243" spans="1:20" x14ac:dyDescent="0.2">
      <c r="A243" s="18"/>
      <c r="B243" s="85"/>
      <c r="C243" s="19"/>
      <c r="D243" s="31"/>
      <c r="E243" s="24"/>
      <c r="F243" s="16"/>
      <c r="G243" s="16"/>
      <c r="H243" s="16"/>
      <c r="I243" s="16"/>
      <c r="J243" s="20"/>
      <c r="K243" s="25"/>
      <c r="L243" s="16"/>
      <c r="M243" s="16"/>
      <c r="N243" s="16"/>
      <c r="O243" s="16" t="str">
        <f>IF(ISNA(VLOOKUP(C243,'Auction Summary'!$P$3:$R$600,2,FALSE)),"",VLOOKUP(C243,'Auction Summary'!$P$3:$R$600,2,FALSE))</f>
        <v/>
      </c>
      <c r="P243" s="16"/>
      <c r="Q243" s="95" t="e">
        <f>VLOOKUP(C243,'Member Details (HOF Only)'!$A$2:$U$219,4,FALSE)</f>
        <v>#N/A</v>
      </c>
      <c r="R243" s="13"/>
      <c r="S243" s="95" t="e">
        <f>VLOOKUP(C243,'Member Details (HOF Only)'!$A$2:$U$219,7,FALSE)</f>
        <v>#N/A</v>
      </c>
      <c r="T243" s="11">
        <f t="shared" si="3"/>
        <v>0</v>
      </c>
    </row>
    <row r="244" spans="1:20" x14ac:dyDescent="0.2">
      <c r="A244" s="18"/>
      <c r="B244" s="85"/>
      <c r="C244" s="19"/>
      <c r="D244" s="31"/>
      <c r="E244" s="24"/>
      <c r="F244" s="16"/>
      <c r="G244" s="16"/>
      <c r="H244" s="16"/>
      <c r="I244" s="16"/>
      <c r="J244" s="20"/>
      <c r="K244" s="25"/>
      <c r="L244" s="16"/>
      <c r="M244" s="16"/>
      <c r="N244" s="16"/>
      <c r="O244" s="16" t="str">
        <f>IF(ISNA(VLOOKUP(C244,'Auction Summary'!$P$3:$R$600,2,FALSE)),"",VLOOKUP(C244,'Auction Summary'!$P$3:$R$600,2,FALSE))</f>
        <v/>
      </c>
      <c r="P244" s="16"/>
      <c r="Q244" s="95" t="e">
        <f>VLOOKUP(C244,'Member Details (HOF Only)'!$A$2:$U$219,4,FALSE)</f>
        <v>#N/A</v>
      </c>
      <c r="R244" s="13"/>
      <c r="S244" s="95" t="e">
        <f>VLOOKUP(C244,'Member Details (HOF Only)'!$A$2:$U$219,7,FALSE)</f>
        <v>#N/A</v>
      </c>
      <c r="T244" s="11">
        <f t="shared" si="3"/>
        <v>0</v>
      </c>
    </row>
    <row r="245" spans="1:20" x14ac:dyDescent="0.2">
      <c r="A245" s="18"/>
      <c r="B245" s="85"/>
      <c r="C245" s="19"/>
      <c r="D245" s="31"/>
      <c r="E245" s="24"/>
      <c r="F245" s="16"/>
      <c r="G245" s="16"/>
      <c r="H245" s="16"/>
      <c r="I245" s="16"/>
      <c r="J245" s="20"/>
      <c r="K245" s="25"/>
      <c r="L245" s="16"/>
      <c r="M245" s="16"/>
      <c r="N245" s="16"/>
      <c r="O245" s="16" t="str">
        <f>IF(ISNA(VLOOKUP(C245,'Auction Summary'!$P$3:$R$600,2,FALSE)),"",VLOOKUP(C245,'Auction Summary'!$P$3:$R$600,2,FALSE))</f>
        <v/>
      </c>
      <c r="P245" s="16"/>
      <c r="Q245" s="95" t="e">
        <f>VLOOKUP(C245,'Member Details (HOF Only)'!$A$2:$U$219,4,FALSE)</f>
        <v>#N/A</v>
      </c>
      <c r="R245" s="13"/>
      <c r="S245" s="95" t="e">
        <f>VLOOKUP(C245,'Member Details (HOF Only)'!$A$2:$U$219,7,FALSE)</f>
        <v>#N/A</v>
      </c>
      <c r="T245" s="11">
        <f t="shared" si="3"/>
        <v>0</v>
      </c>
    </row>
    <row r="246" spans="1:20" x14ac:dyDescent="0.2">
      <c r="A246" s="18"/>
      <c r="B246" s="85"/>
      <c r="C246" s="19"/>
      <c r="D246" s="31"/>
      <c r="E246" s="24"/>
      <c r="F246" s="16"/>
      <c r="G246" s="16"/>
      <c r="H246" s="16"/>
      <c r="I246" s="16"/>
      <c r="J246" s="20"/>
      <c r="K246" s="25"/>
      <c r="L246" s="16"/>
      <c r="M246" s="16"/>
      <c r="N246" s="16"/>
      <c r="O246" s="16" t="str">
        <f>IF(ISNA(VLOOKUP(C246,'Auction Summary'!$P$3:$R$600,2,FALSE)),"",VLOOKUP(C246,'Auction Summary'!$P$3:$R$600,2,FALSE))</f>
        <v/>
      </c>
      <c r="P246" s="16"/>
      <c r="Q246" s="95" t="e">
        <f>VLOOKUP(C246,'Member Details (HOF Only)'!$A$2:$U$219,4,FALSE)</f>
        <v>#N/A</v>
      </c>
      <c r="R246" s="13"/>
      <c r="S246" s="95" t="e">
        <f>VLOOKUP(C246,'Member Details (HOF Only)'!$A$2:$U$219,7,FALSE)</f>
        <v>#N/A</v>
      </c>
      <c r="T246" s="11">
        <f t="shared" si="3"/>
        <v>0</v>
      </c>
    </row>
    <row r="247" spans="1:20" x14ac:dyDescent="0.2">
      <c r="A247" s="18"/>
      <c r="B247" s="85"/>
      <c r="C247" s="19"/>
      <c r="D247" s="31"/>
      <c r="E247" s="24"/>
      <c r="F247" s="16"/>
      <c r="G247" s="16"/>
      <c r="H247" s="16"/>
      <c r="I247" s="16"/>
      <c r="J247" s="20"/>
      <c r="K247" s="25"/>
      <c r="L247" s="16"/>
      <c r="M247" s="16"/>
      <c r="N247" s="16"/>
      <c r="O247" s="16" t="str">
        <f>IF(ISNA(VLOOKUP(C247,'Auction Summary'!$P$3:$R$600,2,FALSE)),"",VLOOKUP(C247,'Auction Summary'!$P$3:$R$600,2,FALSE))</f>
        <v/>
      </c>
      <c r="P247" s="16"/>
      <c r="Q247" s="95" t="e">
        <f>VLOOKUP(C247,'Member Details (HOF Only)'!$A$2:$U$219,4,FALSE)</f>
        <v>#N/A</v>
      </c>
      <c r="R247" s="13"/>
      <c r="S247" s="95" t="e">
        <f>VLOOKUP(C247,'Member Details (HOF Only)'!$A$2:$U$219,7,FALSE)</f>
        <v>#N/A</v>
      </c>
      <c r="T247" s="11">
        <f t="shared" si="3"/>
        <v>0</v>
      </c>
    </row>
    <row r="248" spans="1:20" x14ac:dyDescent="0.2">
      <c r="A248" s="18"/>
      <c r="B248" s="85"/>
      <c r="C248" s="19"/>
      <c r="D248" s="31"/>
      <c r="E248" s="24"/>
      <c r="F248" s="16"/>
      <c r="G248" s="16"/>
      <c r="H248" s="16"/>
      <c r="I248" s="16"/>
      <c r="J248" s="20"/>
      <c r="K248" s="25"/>
      <c r="L248" s="16"/>
      <c r="M248" s="16"/>
      <c r="N248" s="16"/>
      <c r="O248" s="16" t="str">
        <f>IF(ISNA(VLOOKUP(C248,'Auction Summary'!$P$3:$R$600,2,FALSE)),"",VLOOKUP(C248,'Auction Summary'!$P$3:$R$600,2,FALSE))</f>
        <v/>
      </c>
      <c r="P248" s="16"/>
      <c r="Q248" s="95" t="e">
        <f>VLOOKUP(C248,'Member Details (HOF Only)'!$A$2:$U$219,4,FALSE)</f>
        <v>#N/A</v>
      </c>
      <c r="R248" s="13"/>
      <c r="S248" s="95" t="e">
        <f>VLOOKUP(C248,'Member Details (HOF Only)'!$A$2:$U$219,7,FALSE)</f>
        <v>#N/A</v>
      </c>
      <c r="T248" s="11">
        <f t="shared" si="3"/>
        <v>0</v>
      </c>
    </row>
    <row r="249" spans="1:20" x14ac:dyDescent="0.2">
      <c r="A249" s="18"/>
      <c r="B249" s="85"/>
      <c r="C249" s="19"/>
      <c r="D249" s="31"/>
      <c r="E249" s="24"/>
      <c r="F249" s="16"/>
      <c r="G249" s="16"/>
      <c r="H249" s="16"/>
      <c r="I249" s="16"/>
      <c r="J249" s="20"/>
      <c r="K249" s="25"/>
      <c r="L249" s="16"/>
      <c r="M249" s="16"/>
      <c r="N249" s="16"/>
      <c r="O249" s="16" t="str">
        <f>IF(ISNA(VLOOKUP(C249,'Auction Summary'!$P$3:$R$600,2,FALSE)),"",VLOOKUP(C249,'Auction Summary'!$P$3:$R$600,2,FALSE))</f>
        <v/>
      </c>
      <c r="P249" s="16"/>
      <c r="Q249" s="95" t="e">
        <f>VLOOKUP(C249,'Member Details (HOF Only)'!$A$2:$U$219,4,FALSE)</f>
        <v>#N/A</v>
      </c>
      <c r="R249" s="13"/>
      <c r="S249" s="95" t="e">
        <f>VLOOKUP(C249,'Member Details (HOF Only)'!$A$2:$U$219,7,FALSE)</f>
        <v>#N/A</v>
      </c>
      <c r="T249" s="11">
        <f t="shared" si="3"/>
        <v>0</v>
      </c>
    </row>
    <row r="250" spans="1:20" x14ac:dyDescent="0.2">
      <c r="A250" s="18"/>
      <c r="B250" s="85"/>
      <c r="C250" s="19"/>
      <c r="D250" s="31"/>
      <c r="E250" s="24"/>
      <c r="F250" s="16"/>
      <c r="G250" s="16"/>
      <c r="H250" s="16"/>
      <c r="I250" s="16"/>
      <c r="J250" s="20"/>
      <c r="K250" s="25"/>
      <c r="L250" s="16"/>
      <c r="M250" s="16"/>
      <c r="N250" s="16"/>
      <c r="O250" s="16" t="str">
        <f>IF(ISNA(VLOOKUP(C250,'Auction Summary'!$P$3:$R$600,2,FALSE)),"",VLOOKUP(C250,'Auction Summary'!$P$3:$R$600,2,FALSE))</f>
        <v/>
      </c>
      <c r="P250" s="16"/>
      <c r="Q250" s="95" t="e">
        <f>VLOOKUP(C250,'Member Details (HOF Only)'!$A$2:$U$219,4,FALSE)</f>
        <v>#N/A</v>
      </c>
      <c r="R250" s="13"/>
      <c r="S250" s="95" t="e">
        <f>VLOOKUP(C250,'Member Details (HOF Only)'!$A$2:$U$219,7,FALSE)</f>
        <v>#N/A</v>
      </c>
      <c r="T250" s="11">
        <f t="shared" si="3"/>
        <v>0</v>
      </c>
    </row>
    <row r="251" spans="1:20" x14ac:dyDescent="0.2">
      <c r="A251" s="18"/>
      <c r="B251" s="85"/>
      <c r="C251" s="19"/>
      <c r="D251" s="31"/>
      <c r="E251" s="24"/>
      <c r="F251" s="16"/>
      <c r="G251" s="16"/>
      <c r="H251" s="16"/>
      <c r="I251" s="16"/>
      <c r="J251" s="20"/>
      <c r="K251" s="25"/>
      <c r="L251" s="16"/>
      <c r="M251" s="16"/>
      <c r="N251" s="16"/>
      <c r="O251" s="16" t="str">
        <f>IF(ISNA(VLOOKUP(C251,'Auction Summary'!$P$3:$R$600,2,FALSE)),"",VLOOKUP(C251,'Auction Summary'!$P$3:$R$600,2,FALSE))</f>
        <v/>
      </c>
      <c r="P251" s="16"/>
      <c r="Q251" s="95" t="e">
        <f>VLOOKUP(C251,'Member Details (HOF Only)'!$A$2:$U$219,4,FALSE)</f>
        <v>#N/A</v>
      </c>
      <c r="R251" s="13"/>
      <c r="S251" s="95" t="e">
        <f>VLOOKUP(C251,'Member Details (HOF Only)'!$A$2:$U$219,7,FALSE)</f>
        <v>#N/A</v>
      </c>
      <c r="T251" s="11">
        <f t="shared" si="3"/>
        <v>0</v>
      </c>
    </row>
    <row r="252" spans="1:20" x14ac:dyDescent="0.2">
      <c r="A252" s="18"/>
      <c r="B252" s="85"/>
      <c r="C252" s="19"/>
      <c r="D252" s="31"/>
      <c r="E252" s="24"/>
      <c r="F252" s="16"/>
      <c r="G252" s="16"/>
      <c r="H252" s="16"/>
      <c r="I252" s="16"/>
      <c r="J252" s="20"/>
      <c r="K252" s="25"/>
      <c r="L252" s="16"/>
      <c r="M252" s="16"/>
      <c r="N252" s="16"/>
      <c r="O252" s="16" t="str">
        <f>IF(ISNA(VLOOKUP(C252,'Auction Summary'!$P$3:$R$600,2,FALSE)),"",VLOOKUP(C252,'Auction Summary'!$P$3:$R$600,2,FALSE))</f>
        <v/>
      </c>
      <c r="P252" s="16"/>
      <c r="Q252" s="95" t="e">
        <f>VLOOKUP(C252,'Member Details (HOF Only)'!$A$2:$U$219,4,FALSE)</f>
        <v>#N/A</v>
      </c>
      <c r="R252" s="13"/>
      <c r="S252" s="95" t="e">
        <f>VLOOKUP(C252,'Member Details (HOF Only)'!$A$2:$U$219,7,FALSE)</f>
        <v>#N/A</v>
      </c>
      <c r="T252" s="11">
        <f t="shared" si="3"/>
        <v>0</v>
      </c>
    </row>
    <row r="253" spans="1:20" x14ac:dyDescent="0.2">
      <c r="A253" s="18"/>
      <c r="B253" s="85"/>
      <c r="C253" s="19"/>
      <c r="D253" s="31"/>
      <c r="E253" s="24"/>
      <c r="F253" s="16"/>
      <c r="G253" s="16"/>
      <c r="H253" s="16"/>
      <c r="I253" s="16"/>
      <c r="J253" s="20"/>
      <c r="K253" s="25"/>
      <c r="L253" s="16"/>
      <c r="M253" s="16"/>
      <c r="N253" s="16"/>
      <c r="O253" s="16" t="str">
        <f>IF(ISNA(VLOOKUP(C253,'Auction Summary'!$P$3:$R$600,2,FALSE)),"",VLOOKUP(C253,'Auction Summary'!$P$3:$R$600,2,FALSE))</f>
        <v/>
      </c>
      <c r="P253" s="16"/>
      <c r="Q253" s="95" t="e">
        <f>VLOOKUP(C253,'Member Details (HOF Only)'!$A$2:$U$219,4,FALSE)</f>
        <v>#N/A</v>
      </c>
      <c r="R253" s="13"/>
      <c r="S253" s="95" t="e">
        <f>VLOOKUP(C253,'Member Details (HOF Only)'!$A$2:$U$219,7,FALSE)</f>
        <v>#N/A</v>
      </c>
      <c r="T253" s="11">
        <f t="shared" si="3"/>
        <v>0</v>
      </c>
    </row>
    <row r="254" spans="1:20" x14ac:dyDescent="0.2">
      <c r="A254" s="18"/>
      <c r="B254" s="85"/>
      <c r="C254" s="19"/>
      <c r="D254" s="31"/>
      <c r="E254" s="24"/>
      <c r="F254" s="16"/>
      <c r="G254" s="16"/>
      <c r="H254" s="16"/>
      <c r="I254" s="16"/>
      <c r="J254" s="20"/>
      <c r="K254" s="25"/>
      <c r="L254" s="16"/>
      <c r="M254" s="16"/>
      <c r="N254" s="16"/>
      <c r="O254" s="16" t="str">
        <f>IF(ISNA(VLOOKUP(C254,'Auction Summary'!$P$3:$R$600,2,FALSE)),"",VLOOKUP(C254,'Auction Summary'!$P$3:$R$600,2,FALSE))</f>
        <v/>
      </c>
      <c r="P254" s="16"/>
      <c r="Q254" s="95" t="e">
        <f>VLOOKUP(C254,'Member Details (HOF Only)'!$A$2:$U$219,4,FALSE)</f>
        <v>#N/A</v>
      </c>
      <c r="R254" s="13"/>
      <c r="S254" s="95" t="e">
        <f>VLOOKUP(C254,'Member Details (HOF Only)'!$A$2:$U$219,7,FALSE)</f>
        <v>#N/A</v>
      </c>
      <c r="T254" s="11">
        <f t="shared" si="3"/>
        <v>0</v>
      </c>
    </row>
    <row r="255" spans="1:20" x14ac:dyDescent="0.2">
      <c r="A255" s="18"/>
      <c r="B255" s="85"/>
      <c r="C255" s="19"/>
      <c r="D255" s="31"/>
      <c r="E255" s="24"/>
      <c r="F255" s="16"/>
      <c r="G255" s="16"/>
      <c r="H255" s="16"/>
      <c r="I255" s="16"/>
      <c r="J255" s="20"/>
      <c r="K255" s="25"/>
      <c r="L255" s="16"/>
      <c r="M255" s="16"/>
      <c r="N255" s="16"/>
      <c r="O255" s="16" t="str">
        <f>IF(ISNA(VLOOKUP(C255,'Auction Summary'!$P$3:$R$600,2,FALSE)),"",VLOOKUP(C255,'Auction Summary'!$P$3:$R$600,2,FALSE))</f>
        <v/>
      </c>
      <c r="P255" s="16"/>
      <c r="Q255" s="95" t="e">
        <f>VLOOKUP(C255,'Member Details (HOF Only)'!$A$2:$U$219,4,FALSE)</f>
        <v>#N/A</v>
      </c>
      <c r="R255" s="13"/>
      <c r="S255" s="95" t="e">
        <f>VLOOKUP(C255,'Member Details (HOF Only)'!$A$2:$U$219,7,FALSE)</f>
        <v>#N/A</v>
      </c>
      <c r="T255" s="11">
        <f t="shared" si="3"/>
        <v>0</v>
      </c>
    </row>
    <row r="256" spans="1:20" x14ac:dyDescent="0.2">
      <c r="A256" s="18"/>
      <c r="B256" s="85"/>
      <c r="C256" s="19"/>
      <c r="D256" s="31"/>
      <c r="E256" s="24"/>
      <c r="F256" s="16"/>
      <c r="G256" s="16"/>
      <c r="H256" s="16"/>
      <c r="I256" s="16"/>
      <c r="J256" s="20"/>
      <c r="K256" s="25"/>
      <c r="L256" s="16"/>
      <c r="M256" s="16"/>
      <c r="N256" s="16"/>
      <c r="O256" s="16" t="str">
        <f>IF(ISNA(VLOOKUP(C256,'Auction Summary'!$P$3:$R$600,2,FALSE)),"",VLOOKUP(C256,'Auction Summary'!$P$3:$R$600,2,FALSE))</f>
        <v/>
      </c>
      <c r="P256" s="16"/>
      <c r="Q256" s="95" t="e">
        <f>VLOOKUP(C256,'Member Details (HOF Only)'!$A$2:$U$219,4,FALSE)</f>
        <v>#N/A</v>
      </c>
      <c r="R256" s="13"/>
      <c r="S256" s="95" t="e">
        <f>VLOOKUP(C256,'Member Details (HOF Only)'!$A$2:$U$219,7,FALSE)</f>
        <v>#N/A</v>
      </c>
      <c r="T256" s="11">
        <f t="shared" si="3"/>
        <v>0</v>
      </c>
    </row>
    <row r="257" spans="1:20" x14ac:dyDescent="0.2">
      <c r="A257" s="18"/>
      <c r="B257" s="85"/>
      <c r="C257" s="19"/>
      <c r="D257" s="31"/>
      <c r="E257" s="24"/>
      <c r="F257" s="16"/>
      <c r="G257" s="16"/>
      <c r="H257" s="16"/>
      <c r="I257" s="16"/>
      <c r="J257" s="20"/>
      <c r="K257" s="25"/>
      <c r="L257" s="16"/>
      <c r="M257" s="16"/>
      <c r="N257" s="16"/>
      <c r="O257" s="16" t="str">
        <f>IF(ISNA(VLOOKUP(C257,'Auction Summary'!$P$3:$R$600,2,FALSE)),"",VLOOKUP(C257,'Auction Summary'!$P$3:$R$600,2,FALSE))</f>
        <v/>
      </c>
      <c r="P257" s="16"/>
      <c r="Q257" s="95" t="e">
        <f>VLOOKUP(C257,'Member Details (HOF Only)'!$A$2:$U$219,4,FALSE)</f>
        <v>#N/A</v>
      </c>
      <c r="R257" s="13"/>
      <c r="S257" s="95" t="e">
        <f>VLOOKUP(C257,'Member Details (HOF Only)'!$A$2:$U$219,7,FALSE)</f>
        <v>#N/A</v>
      </c>
      <c r="T257" s="11">
        <f t="shared" ref="T257:T320" si="4">T256+D257</f>
        <v>0</v>
      </c>
    </row>
    <row r="258" spans="1:20" x14ac:dyDescent="0.2">
      <c r="A258" s="18"/>
      <c r="B258" s="85"/>
      <c r="C258" s="19"/>
      <c r="D258" s="31"/>
      <c r="E258" s="24"/>
      <c r="F258" s="16"/>
      <c r="G258" s="16"/>
      <c r="H258" s="16"/>
      <c r="I258" s="16"/>
      <c r="J258" s="20"/>
      <c r="K258" s="25"/>
      <c r="L258" s="16"/>
      <c r="M258" s="16"/>
      <c r="N258" s="16"/>
      <c r="O258" s="16" t="str">
        <f>IF(ISNA(VLOOKUP(C258,'Auction Summary'!$P$3:$R$600,2,FALSE)),"",VLOOKUP(C258,'Auction Summary'!$P$3:$R$600,2,FALSE))</f>
        <v/>
      </c>
      <c r="P258" s="16"/>
      <c r="Q258" s="95" t="e">
        <f>VLOOKUP(C258,'Member Details (HOF Only)'!$A$2:$U$219,4,FALSE)</f>
        <v>#N/A</v>
      </c>
      <c r="R258" s="13"/>
      <c r="S258" s="95" t="e">
        <f>VLOOKUP(C258,'Member Details (HOF Only)'!$A$2:$U$219,7,FALSE)</f>
        <v>#N/A</v>
      </c>
      <c r="T258" s="11">
        <f t="shared" si="4"/>
        <v>0</v>
      </c>
    </row>
    <row r="259" spans="1:20" x14ac:dyDescent="0.2">
      <c r="A259" s="18"/>
      <c r="B259" s="85"/>
      <c r="C259" s="19"/>
      <c r="D259" s="31"/>
      <c r="E259" s="24"/>
      <c r="F259" s="16"/>
      <c r="G259" s="16"/>
      <c r="H259" s="16"/>
      <c r="I259" s="16"/>
      <c r="J259" s="20"/>
      <c r="K259" s="25"/>
      <c r="L259" s="16"/>
      <c r="M259" s="16"/>
      <c r="N259" s="16"/>
      <c r="O259" s="16" t="str">
        <f>IF(ISNA(VLOOKUP(C259,'Auction Summary'!$P$3:$R$600,2,FALSE)),"",VLOOKUP(C259,'Auction Summary'!$P$3:$R$600,2,FALSE))</f>
        <v/>
      </c>
      <c r="P259" s="16"/>
      <c r="Q259" s="95" t="e">
        <f>VLOOKUP(C259,'Member Details (HOF Only)'!$A$2:$U$219,4,FALSE)</f>
        <v>#N/A</v>
      </c>
      <c r="R259" s="13"/>
      <c r="S259" s="95" t="e">
        <f>VLOOKUP(C259,'Member Details (HOF Only)'!$A$2:$U$219,7,FALSE)</f>
        <v>#N/A</v>
      </c>
      <c r="T259" s="11">
        <f t="shared" si="4"/>
        <v>0</v>
      </c>
    </row>
    <row r="260" spans="1:20" x14ac:dyDescent="0.2">
      <c r="A260" s="18"/>
      <c r="B260" s="85"/>
      <c r="C260" s="19"/>
      <c r="D260" s="31"/>
      <c r="E260" s="24"/>
      <c r="F260" s="16"/>
      <c r="G260" s="16"/>
      <c r="H260" s="16"/>
      <c r="I260" s="16"/>
      <c r="J260" s="20"/>
      <c r="K260" s="25"/>
      <c r="L260" s="16"/>
      <c r="M260" s="16"/>
      <c r="N260" s="16"/>
      <c r="O260" s="16" t="str">
        <f>IF(ISNA(VLOOKUP(C260,'Auction Summary'!$P$3:$R$600,2,FALSE)),"",VLOOKUP(C260,'Auction Summary'!$P$3:$R$600,2,FALSE))</f>
        <v/>
      </c>
      <c r="P260" s="16"/>
      <c r="Q260" s="95" t="e">
        <f>VLOOKUP(C260,'Member Details (HOF Only)'!$A$2:$U$219,4,FALSE)</f>
        <v>#N/A</v>
      </c>
      <c r="R260" s="13"/>
      <c r="S260" s="95" t="e">
        <f>VLOOKUP(C260,'Member Details (HOF Only)'!$A$2:$U$219,7,FALSE)</f>
        <v>#N/A</v>
      </c>
      <c r="T260" s="11">
        <f t="shared" si="4"/>
        <v>0</v>
      </c>
    </row>
    <row r="261" spans="1:20" x14ac:dyDescent="0.2">
      <c r="A261" s="18"/>
      <c r="B261" s="85"/>
      <c r="C261" s="19"/>
      <c r="D261" s="31"/>
      <c r="E261" s="24"/>
      <c r="F261" s="16"/>
      <c r="G261" s="16"/>
      <c r="H261" s="16"/>
      <c r="I261" s="16"/>
      <c r="J261" s="20"/>
      <c r="K261" s="25"/>
      <c r="L261" s="16"/>
      <c r="M261" s="16"/>
      <c r="N261" s="16"/>
      <c r="O261" s="16" t="str">
        <f>IF(ISNA(VLOOKUP(C261,'Auction Summary'!$P$3:$R$600,2,FALSE)),"",VLOOKUP(C261,'Auction Summary'!$P$3:$R$600,2,FALSE))</f>
        <v/>
      </c>
      <c r="P261" s="16"/>
      <c r="Q261" s="95" t="e">
        <f>VLOOKUP(C261,'Member Details (HOF Only)'!$A$2:$U$219,4,FALSE)</f>
        <v>#N/A</v>
      </c>
      <c r="R261" s="13"/>
      <c r="S261" s="95" t="e">
        <f>VLOOKUP(C261,'Member Details (HOF Only)'!$A$2:$U$219,7,FALSE)</f>
        <v>#N/A</v>
      </c>
      <c r="T261" s="11">
        <f t="shared" si="4"/>
        <v>0</v>
      </c>
    </row>
    <row r="262" spans="1:20" x14ac:dyDescent="0.2">
      <c r="A262" s="18"/>
      <c r="B262" s="85"/>
      <c r="C262" s="19"/>
      <c r="D262" s="31"/>
      <c r="E262" s="24"/>
      <c r="F262" s="16"/>
      <c r="G262" s="16"/>
      <c r="H262" s="16"/>
      <c r="I262" s="16"/>
      <c r="J262" s="20"/>
      <c r="K262" s="25"/>
      <c r="L262" s="16"/>
      <c r="M262" s="16"/>
      <c r="N262" s="16"/>
      <c r="O262" s="16" t="str">
        <f>IF(ISNA(VLOOKUP(C262,'Auction Summary'!$P$3:$R$600,2,FALSE)),"",VLOOKUP(C262,'Auction Summary'!$P$3:$R$600,2,FALSE))</f>
        <v/>
      </c>
      <c r="P262" s="16"/>
      <c r="Q262" s="95" t="e">
        <f>VLOOKUP(C262,'Member Details (HOF Only)'!$A$2:$U$219,4,FALSE)</f>
        <v>#N/A</v>
      </c>
      <c r="R262" s="13"/>
      <c r="S262" s="95" t="e">
        <f>VLOOKUP(C262,'Member Details (HOF Only)'!$A$2:$U$219,7,FALSE)</f>
        <v>#N/A</v>
      </c>
      <c r="T262" s="11">
        <f t="shared" si="4"/>
        <v>0</v>
      </c>
    </row>
    <row r="263" spans="1:20" x14ac:dyDescent="0.2">
      <c r="A263" s="18"/>
      <c r="B263" s="85"/>
      <c r="C263" s="19"/>
      <c r="D263" s="31"/>
      <c r="E263" s="24"/>
      <c r="F263" s="16"/>
      <c r="G263" s="16"/>
      <c r="H263" s="16"/>
      <c r="I263" s="16"/>
      <c r="J263" s="20"/>
      <c r="K263" s="25"/>
      <c r="L263" s="16"/>
      <c r="M263" s="16"/>
      <c r="N263" s="16"/>
      <c r="O263" s="16" t="str">
        <f>IF(ISNA(VLOOKUP(C263,'Auction Summary'!$P$3:$R$600,2,FALSE)),"",VLOOKUP(C263,'Auction Summary'!$P$3:$R$600,2,FALSE))</f>
        <v/>
      </c>
      <c r="P263" s="16"/>
      <c r="Q263" s="95" t="e">
        <f>VLOOKUP(C263,'Member Details (HOF Only)'!$A$2:$U$219,4,FALSE)</f>
        <v>#N/A</v>
      </c>
      <c r="R263" s="13"/>
      <c r="S263" s="95" t="e">
        <f>VLOOKUP(C263,'Member Details (HOF Only)'!$A$2:$U$219,7,FALSE)</f>
        <v>#N/A</v>
      </c>
      <c r="T263" s="11">
        <f t="shared" si="4"/>
        <v>0</v>
      </c>
    </row>
    <row r="264" spans="1:20" x14ac:dyDescent="0.2">
      <c r="A264" s="18"/>
      <c r="B264" s="85"/>
      <c r="C264" s="19"/>
      <c r="D264" s="31"/>
      <c r="E264" s="24"/>
      <c r="F264" s="16"/>
      <c r="G264" s="16"/>
      <c r="H264" s="16"/>
      <c r="I264" s="16"/>
      <c r="J264" s="20"/>
      <c r="K264" s="25"/>
      <c r="L264" s="16"/>
      <c r="M264" s="16"/>
      <c r="N264" s="16"/>
      <c r="O264" s="16" t="str">
        <f>IF(ISNA(VLOOKUP(C264,'Auction Summary'!$P$3:$R$600,2,FALSE)),"",VLOOKUP(C264,'Auction Summary'!$P$3:$R$600,2,FALSE))</f>
        <v/>
      </c>
      <c r="P264" s="16"/>
      <c r="Q264" s="95" t="e">
        <f>VLOOKUP(C264,'Member Details (HOF Only)'!$A$2:$U$219,4,FALSE)</f>
        <v>#N/A</v>
      </c>
      <c r="R264" s="13"/>
      <c r="S264" s="95" t="e">
        <f>VLOOKUP(C264,'Member Details (HOF Only)'!$A$2:$U$219,7,FALSE)</f>
        <v>#N/A</v>
      </c>
      <c r="T264" s="11">
        <f t="shared" si="4"/>
        <v>0</v>
      </c>
    </row>
    <row r="265" spans="1:20" x14ac:dyDescent="0.2">
      <c r="A265" s="18"/>
      <c r="B265" s="85"/>
      <c r="C265" s="19"/>
      <c r="D265" s="31"/>
      <c r="E265" s="24"/>
      <c r="F265" s="16"/>
      <c r="G265" s="16"/>
      <c r="H265" s="16"/>
      <c r="I265" s="16"/>
      <c r="J265" s="20"/>
      <c r="K265" s="25"/>
      <c r="L265" s="16"/>
      <c r="M265" s="16"/>
      <c r="N265" s="16"/>
      <c r="O265" s="16" t="str">
        <f>IF(ISNA(VLOOKUP(C265,'Auction Summary'!$P$3:$R$600,2,FALSE)),"",VLOOKUP(C265,'Auction Summary'!$P$3:$R$600,2,FALSE))</f>
        <v/>
      </c>
      <c r="P265" s="16"/>
      <c r="Q265" s="95" t="e">
        <f>VLOOKUP(C265,'Member Details (HOF Only)'!$A$2:$U$219,4,FALSE)</f>
        <v>#N/A</v>
      </c>
      <c r="R265" s="13"/>
      <c r="S265" s="95" t="e">
        <f>VLOOKUP(C265,'Member Details (HOF Only)'!$A$2:$U$219,7,FALSE)</f>
        <v>#N/A</v>
      </c>
      <c r="T265" s="11">
        <f t="shared" si="4"/>
        <v>0</v>
      </c>
    </row>
    <row r="266" spans="1:20" x14ac:dyDescent="0.2">
      <c r="A266" s="18"/>
      <c r="B266" s="85"/>
      <c r="C266" s="19"/>
      <c r="D266" s="31"/>
      <c r="E266" s="24"/>
      <c r="F266" s="16"/>
      <c r="G266" s="16"/>
      <c r="H266" s="16"/>
      <c r="I266" s="16"/>
      <c r="J266" s="20"/>
      <c r="K266" s="25"/>
      <c r="L266" s="16"/>
      <c r="M266" s="16"/>
      <c r="N266" s="16"/>
      <c r="O266" s="16" t="str">
        <f>IF(ISNA(VLOOKUP(C266,'Auction Summary'!$P$3:$R$600,2,FALSE)),"",VLOOKUP(C266,'Auction Summary'!$P$3:$R$600,2,FALSE))</f>
        <v/>
      </c>
      <c r="P266" s="16"/>
      <c r="Q266" s="95" t="e">
        <f>VLOOKUP(C266,'Member Details (HOF Only)'!$A$2:$U$219,4,FALSE)</f>
        <v>#N/A</v>
      </c>
      <c r="R266" s="13"/>
      <c r="S266" s="95" t="e">
        <f>VLOOKUP(C266,'Member Details (HOF Only)'!$A$2:$U$219,7,FALSE)</f>
        <v>#N/A</v>
      </c>
      <c r="T266" s="11">
        <f t="shared" si="4"/>
        <v>0</v>
      </c>
    </row>
    <row r="267" spans="1:20" x14ac:dyDescent="0.2">
      <c r="A267" s="18"/>
      <c r="B267" s="85"/>
      <c r="C267" s="19"/>
      <c r="D267" s="31"/>
      <c r="E267" s="24"/>
      <c r="F267" s="16"/>
      <c r="G267" s="16"/>
      <c r="H267" s="16"/>
      <c r="I267" s="16"/>
      <c r="J267" s="20"/>
      <c r="K267" s="25"/>
      <c r="L267" s="16"/>
      <c r="M267" s="16"/>
      <c r="N267" s="16"/>
      <c r="O267" s="16" t="str">
        <f>IF(ISNA(VLOOKUP(C267,'Auction Summary'!$P$3:$R$600,2,FALSE)),"",VLOOKUP(C267,'Auction Summary'!$P$3:$R$600,2,FALSE))</f>
        <v/>
      </c>
      <c r="P267" s="16"/>
      <c r="Q267" s="95" t="e">
        <f>VLOOKUP(C267,'Member Details (HOF Only)'!$A$2:$U$219,4,FALSE)</f>
        <v>#N/A</v>
      </c>
      <c r="R267" s="13"/>
      <c r="S267" s="95" t="e">
        <f>VLOOKUP(C267,'Member Details (HOF Only)'!$A$2:$U$219,7,FALSE)</f>
        <v>#N/A</v>
      </c>
      <c r="T267" s="11">
        <f t="shared" si="4"/>
        <v>0</v>
      </c>
    </row>
    <row r="268" spans="1:20" x14ac:dyDescent="0.2">
      <c r="A268" s="18"/>
      <c r="B268" s="85"/>
      <c r="C268" s="19"/>
      <c r="D268" s="31"/>
      <c r="E268" s="24"/>
      <c r="F268" s="16"/>
      <c r="G268" s="16"/>
      <c r="H268" s="16"/>
      <c r="I268" s="16"/>
      <c r="J268" s="20"/>
      <c r="K268" s="25"/>
      <c r="L268" s="16"/>
      <c r="M268" s="16"/>
      <c r="N268" s="16"/>
      <c r="O268" s="16" t="str">
        <f>IF(ISNA(VLOOKUP(C268,'Auction Summary'!$P$3:$R$600,2,FALSE)),"",VLOOKUP(C268,'Auction Summary'!$P$3:$R$600,2,FALSE))</f>
        <v/>
      </c>
      <c r="P268" s="16"/>
      <c r="Q268" s="95" t="e">
        <f>VLOOKUP(C268,'Member Details (HOF Only)'!$A$2:$U$219,4,FALSE)</f>
        <v>#N/A</v>
      </c>
      <c r="R268" s="13"/>
      <c r="S268" s="95" t="e">
        <f>VLOOKUP(C268,'Member Details (HOF Only)'!$A$2:$U$219,7,FALSE)</f>
        <v>#N/A</v>
      </c>
      <c r="T268" s="11">
        <f t="shared" si="4"/>
        <v>0</v>
      </c>
    </row>
    <row r="269" spans="1:20" x14ac:dyDescent="0.2">
      <c r="A269" s="18"/>
      <c r="B269" s="85"/>
      <c r="C269" s="19"/>
      <c r="D269" s="31"/>
      <c r="E269" s="24"/>
      <c r="F269" s="16"/>
      <c r="G269" s="16"/>
      <c r="H269" s="16"/>
      <c r="I269" s="16"/>
      <c r="J269" s="20"/>
      <c r="K269" s="25"/>
      <c r="L269" s="16"/>
      <c r="M269" s="16"/>
      <c r="N269" s="16"/>
      <c r="O269" s="16" t="str">
        <f>IF(ISNA(VLOOKUP(C269,'Auction Summary'!$P$3:$R$600,2,FALSE)),"",VLOOKUP(C269,'Auction Summary'!$P$3:$R$600,2,FALSE))</f>
        <v/>
      </c>
      <c r="P269" s="16"/>
      <c r="Q269" s="95" t="e">
        <f>VLOOKUP(C269,'Member Details (HOF Only)'!$A$2:$U$219,4,FALSE)</f>
        <v>#N/A</v>
      </c>
      <c r="R269" s="13"/>
      <c r="S269" s="95" t="e">
        <f>VLOOKUP(C269,'Member Details (HOF Only)'!$A$2:$U$219,7,FALSE)</f>
        <v>#N/A</v>
      </c>
      <c r="T269" s="11">
        <f t="shared" si="4"/>
        <v>0</v>
      </c>
    </row>
    <row r="270" spans="1:20" x14ac:dyDescent="0.2">
      <c r="A270" s="18"/>
      <c r="B270" s="85"/>
      <c r="C270" s="19"/>
      <c r="D270" s="31"/>
      <c r="E270" s="24"/>
      <c r="F270" s="16"/>
      <c r="G270" s="16"/>
      <c r="H270" s="16"/>
      <c r="I270" s="16"/>
      <c r="J270" s="20"/>
      <c r="K270" s="25"/>
      <c r="L270" s="16"/>
      <c r="M270" s="16"/>
      <c r="N270" s="16"/>
      <c r="O270" s="16" t="str">
        <f>IF(ISNA(VLOOKUP(C270,'Auction Summary'!$P$3:$R$600,2,FALSE)),"",VLOOKUP(C270,'Auction Summary'!$P$3:$R$600,2,FALSE))</f>
        <v/>
      </c>
      <c r="P270" s="16"/>
      <c r="Q270" s="95" t="e">
        <f>VLOOKUP(C270,'Member Details (HOF Only)'!$A$2:$U$219,4,FALSE)</f>
        <v>#N/A</v>
      </c>
      <c r="R270" s="13"/>
      <c r="S270" s="95" t="e">
        <f>VLOOKUP(C270,'Member Details (HOF Only)'!$A$2:$U$219,7,FALSE)</f>
        <v>#N/A</v>
      </c>
      <c r="T270" s="11">
        <f t="shared" si="4"/>
        <v>0</v>
      </c>
    </row>
    <row r="271" spans="1:20" x14ac:dyDescent="0.2">
      <c r="A271" s="18"/>
      <c r="B271" s="85"/>
      <c r="C271" s="19"/>
      <c r="D271" s="31"/>
      <c r="E271" s="24"/>
      <c r="F271" s="16"/>
      <c r="G271" s="16"/>
      <c r="H271" s="16"/>
      <c r="I271" s="16"/>
      <c r="J271" s="20"/>
      <c r="K271" s="25"/>
      <c r="L271" s="16"/>
      <c r="M271" s="16"/>
      <c r="N271" s="16"/>
      <c r="O271" s="16" t="str">
        <f>IF(ISNA(VLOOKUP(C271,'Auction Summary'!$P$3:$R$600,2,FALSE)),"",VLOOKUP(C271,'Auction Summary'!$P$3:$R$600,2,FALSE))</f>
        <v/>
      </c>
      <c r="P271" s="16"/>
      <c r="Q271" s="95" t="e">
        <f>VLOOKUP(C271,'Member Details (HOF Only)'!$A$2:$U$219,4,FALSE)</f>
        <v>#N/A</v>
      </c>
      <c r="R271" s="13"/>
      <c r="S271" s="95" t="e">
        <f>VLOOKUP(C271,'Member Details (HOF Only)'!$A$2:$U$219,7,FALSE)</f>
        <v>#N/A</v>
      </c>
      <c r="T271" s="11">
        <f t="shared" si="4"/>
        <v>0</v>
      </c>
    </row>
    <row r="272" spans="1:20" x14ac:dyDescent="0.2">
      <c r="A272" s="18"/>
      <c r="B272" s="85"/>
      <c r="C272" s="19"/>
      <c r="D272" s="31"/>
      <c r="E272" s="24"/>
      <c r="F272" s="16"/>
      <c r="G272" s="16"/>
      <c r="H272" s="16"/>
      <c r="I272" s="16"/>
      <c r="J272" s="20"/>
      <c r="K272" s="25"/>
      <c r="L272" s="16"/>
      <c r="M272" s="16"/>
      <c r="N272" s="16"/>
      <c r="O272" s="16" t="str">
        <f>IF(ISNA(VLOOKUP(C272,'Auction Summary'!$P$3:$R$600,2,FALSE)),"",VLOOKUP(C272,'Auction Summary'!$P$3:$R$600,2,FALSE))</f>
        <v/>
      </c>
      <c r="P272" s="16"/>
      <c r="Q272" s="95" t="e">
        <f>VLOOKUP(C272,'Member Details (HOF Only)'!$A$2:$U$219,4,FALSE)</f>
        <v>#N/A</v>
      </c>
      <c r="R272" s="13"/>
      <c r="S272" s="95" t="e">
        <f>VLOOKUP(C272,'Member Details (HOF Only)'!$A$2:$U$219,7,FALSE)</f>
        <v>#N/A</v>
      </c>
      <c r="T272" s="11">
        <f t="shared" si="4"/>
        <v>0</v>
      </c>
    </row>
    <row r="273" spans="1:20" x14ac:dyDescent="0.2">
      <c r="A273" s="18"/>
      <c r="B273" s="85"/>
      <c r="C273" s="19"/>
      <c r="D273" s="31"/>
      <c r="E273" s="24"/>
      <c r="F273" s="16"/>
      <c r="G273" s="16"/>
      <c r="H273" s="16"/>
      <c r="I273" s="16"/>
      <c r="J273" s="20"/>
      <c r="K273" s="25"/>
      <c r="L273" s="16"/>
      <c r="M273" s="16"/>
      <c r="N273" s="16"/>
      <c r="O273" s="16" t="str">
        <f>IF(ISNA(VLOOKUP(C273,'Auction Summary'!$P$3:$R$600,2,FALSE)),"",VLOOKUP(C273,'Auction Summary'!$P$3:$R$600,2,FALSE))</f>
        <v/>
      </c>
      <c r="P273" s="16"/>
      <c r="Q273" s="95" t="e">
        <f>VLOOKUP(C273,'Member Details (HOF Only)'!$A$2:$U$219,4,FALSE)</f>
        <v>#N/A</v>
      </c>
      <c r="R273" s="13"/>
      <c r="S273" s="95" t="e">
        <f>VLOOKUP(C273,'Member Details (HOF Only)'!$A$2:$U$219,7,FALSE)</f>
        <v>#N/A</v>
      </c>
      <c r="T273" s="11">
        <f t="shared" si="4"/>
        <v>0</v>
      </c>
    </row>
    <row r="274" spans="1:20" x14ac:dyDescent="0.2">
      <c r="A274" s="18"/>
      <c r="B274" s="85"/>
      <c r="C274" s="19"/>
      <c r="D274" s="31"/>
      <c r="E274" s="24"/>
      <c r="F274" s="16"/>
      <c r="G274" s="16"/>
      <c r="H274" s="16"/>
      <c r="I274" s="16"/>
      <c r="J274" s="20"/>
      <c r="K274" s="25"/>
      <c r="L274" s="16"/>
      <c r="M274" s="16"/>
      <c r="N274" s="16"/>
      <c r="O274" s="16" t="str">
        <f>IF(ISNA(VLOOKUP(C274,'Auction Summary'!$P$3:$R$600,2,FALSE)),"",VLOOKUP(C274,'Auction Summary'!$P$3:$R$600,2,FALSE))</f>
        <v/>
      </c>
      <c r="P274" s="16"/>
      <c r="Q274" s="95" t="e">
        <f>VLOOKUP(C274,'Member Details (HOF Only)'!$A$2:$U$219,4,FALSE)</f>
        <v>#N/A</v>
      </c>
      <c r="R274" s="13"/>
      <c r="S274" s="95" t="e">
        <f>VLOOKUP(C274,'Member Details (HOF Only)'!$A$2:$U$219,7,FALSE)</f>
        <v>#N/A</v>
      </c>
      <c r="T274" s="11">
        <f t="shared" si="4"/>
        <v>0</v>
      </c>
    </row>
    <row r="275" spans="1:20" x14ac:dyDescent="0.2">
      <c r="A275" s="18"/>
      <c r="B275" s="85"/>
      <c r="C275" s="19"/>
      <c r="D275" s="31"/>
      <c r="E275" s="24"/>
      <c r="F275" s="16"/>
      <c r="G275" s="16"/>
      <c r="H275" s="16"/>
      <c r="I275" s="16"/>
      <c r="J275" s="20"/>
      <c r="K275" s="25"/>
      <c r="L275" s="16"/>
      <c r="M275" s="16"/>
      <c r="N275" s="16"/>
      <c r="O275" s="16" t="str">
        <f>IF(ISNA(VLOOKUP(C275,'Auction Summary'!$P$3:$R$600,2,FALSE)),"",VLOOKUP(C275,'Auction Summary'!$P$3:$R$600,2,FALSE))</f>
        <v/>
      </c>
      <c r="P275" s="16"/>
      <c r="Q275" s="95" t="e">
        <f>VLOOKUP(C275,'Member Details (HOF Only)'!$A$2:$U$219,4,FALSE)</f>
        <v>#N/A</v>
      </c>
      <c r="R275" s="13"/>
      <c r="S275" s="95" t="e">
        <f>VLOOKUP(C275,'Member Details (HOF Only)'!$A$2:$U$219,7,FALSE)</f>
        <v>#N/A</v>
      </c>
      <c r="T275" s="11">
        <f t="shared" si="4"/>
        <v>0</v>
      </c>
    </row>
    <row r="276" spans="1:20" x14ac:dyDescent="0.2">
      <c r="A276" s="18"/>
      <c r="B276" s="85"/>
      <c r="C276" s="19"/>
      <c r="D276" s="31"/>
      <c r="E276" s="24"/>
      <c r="F276" s="16"/>
      <c r="G276" s="16"/>
      <c r="H276" s="16"/>
      <c r="I276" s="16"/>
      <c r="J276" s="20"/>
      <c r="K276" s="25"/>
      <c r="L276" s="16"/>
      <c r="M276" s="16"/>
      <c r="N276" s="16"/>
      <c r="O276" s="16" t="str">
        <f>IF(ISNA(VLOOKUP(C276,'Auction Summary'!$P$3:$R$600,2,FALSE)),"",VLOOKUP(C276,'Auction Summary'!$P$3:$R$600,2,FALSE))</f>
        <v/>
      </c>
      <c r="P276" s="16"/>
      <c r="Q276" s="95" t="e">
        <f>VLOOKUP(C276,'Member Details (HOF Only)'!$A$2:$U$219,4,FALSE)</f>
        <v>#N/A</v>
      </c>
      <c r="R276" s="13"/>
      <c r="S276" s="95" t="e">
        <f>VLOOKUP(C276,'Member Details (HOF Only)'!$A$2:$U$219,7,FALSE)</f>
        <v>#N/A</v>
      </c>
      <c r="T276" s="11">
        <f t="shared" si="4"/>
        <v>0</v>
      </c>
    </row>
    <row r="277" spans="1:20" x14ac:dyDescent="0.2">
      <c r="A277" s="18"/>
      <c r="B277" s="85"/>
      <c r="C277" s="19"/>
      <c r="D277" s="31"/>
      <c r="E277" s="24"/>
      <c r="F277" s="16"/>
      <c r="G277" s="16"/>
      <c r="H277" s="16"/>
      <c r="I277" s="16"/>
      <c r="J277" s="20"/>
      <c r="K277" s="25"/>
      <c r="L277" s="16"/>
      <c r="M277" s="16"/>
      <c r="N277" s="16"/>
      <c r="O277" s="16" t="str">
        <f>IF(ISNA(VLOOKUP(C277,'Auction Summary'!$P$3:$R$600,2,FALSE)),"",VLOOKUP(C277,'Auction Summary'!$P$3:$R$600,2,FALSE))</f>
        <v/>
      </c>
      <c r="P277" s="16"/>
      <c r="Q277" s="95" t="e">
        <f>VLOOKUP(C277,'Member Details (HOF Only)'!$A$2:$U$219,4,FALSE)</f>
        <v>#N/A</v>
      </c>
      <c r="R277" s="13"/>
      <c r="S277" s="95" t="e">
        <f>VLOOKUP(C277,'Member Details (HOF Only)'!$A$2:$U$219,7,FALSE)</f>
        <v>#N/A</v>
      </c>
      <c r="T277" s="11">
        <f t="shared" si="4"/>
        <v>0</v>
      </c>
    </row>
    <row r="278" spans="1:20" x14ac:dyDescent="0.2">
      <c r="A278" s="18"/>
      <c r="B278" s="85"/>
      <c r="C278" s="19"/>
      <c r="D278" s="31"/>
      <c r="E278" s="24"/>
      <c r="F278" s="16"/>
      <c r="G278" s="16"/>
      <c r="H278" s="16"/>
      <c r="I278" s="16"/>
      <c r="J278" s="20"/>
      <c r="K278" s="16"/>
      <c r="L278" s="16"/>
      <c r="M278" s="16"/>
      <c r="N278" s="16"/>
      <c r="O278" s="16" t="str">
        <f>IF(ISNA(VLOOKUP(C278,'Auction Summary'!$P$3:$R$600,2,FALSE)),"",VLOOKUP(C278,'Auction Summary'!$P$3:$R$600,2,FALSE))</f>
        <v/>
      </c>
      <c r="P278" s="16"/>
      <c r="Q278" s="95" t="e">
        <f>VLOOKUP(C278,'Member Details (HOF Only)'!$A$2:$U$219,4,FALSE)</f>
        <v>#N/A</v>
      </c>
      <c r="R278" s="13"/>
      <c r="S278" s="95" t="e">
        <f>VLOOKUP(C278,'Member Details (HOF Only)'!$A$2:$U$219,7,FALSE)</f>
        <v>#N/A</v>
      </c>
      <c r="T278" s="11">
        <f t="shared" si="4"/>
        <v>0</v>
      </c>
    </row>
    <row r="279" spans="1:20" x14ac:dyDescent="0.2">
      <c r="A279" s="18"/>
      <c r="B279" s="85"/>
      <c r="C279" s="19"/>
      <c r="D279" s="31"/>
      <c r="E279" s="24"/>
      <c r="F279" s="16"/>
      <c r="G279" s="16"/>
      <c r="H279" s="16"/>
      <c r="I279" s="16"/>
      <c r="J279" s="20"/>
      <c r="K279" s="16"/>
      <c r="L279" s="16"/>
      <c r="M279" s="16"/>
      <c r="N279" s="16"/>
      <c r="O279" s="16" t="str">
        <f>IF(ISNA(VLOOKUP(C279,'Auction Summary'!$P$3:$R$600,2,FALSE)),"",VLOOKUP(C279,'Auction Summary'!$P$3:$R$600,2,FALSE))</f>
        <v/>
      </c>
      <c r="P279" s="16"/>
      <c r="Q279" s="95" t="e">
        <f>VLOOKUP(C279,'Member Details (HOF Only)'!$A$2:$U$219,4,FALSE)</f>
        <v>#N/A</v>
      </c>
      <c r="R279" s="13"/>
      <c r="S279" s="95" t="e">
        <f>VLOOKUP(C279,'Member Details (HOF Only)'!$A$2:$U$219,7,FALSE)</f>
        <v>#N/A</v>
      </c>
      <c r="T279" s="11">
        <f t="shared" si="4"/>
        <v>0</v>
      </c>
    </row>
    <row r="280" spans="1:20" x14ac:dyDescent="0.2">
      <c r="A280" s="18"/>
      <c r="B280" s="85"/>
      <c r="C280" s="19"/>
      <c r="D280" s="31"/>
      <c r="E280" s="24"/>
      <c r="F280" s="16"/>
      <c r="G280" s="16"/>
      <c r="H280" s="16"/>
      <c r="I280" s="16"/>
      <c r="J280" s="20"/>
      <c r="K280" s="16"/>
      <c r="L280" s="16"/>
      <c r="M280" s="16"/>
      <c r="N280" s="16"/>
      <c r="O280" s="16" t="str">
        <f>IF(ISNA(VLOOKUP(C280,'Auction Summary'!$P$3:$R$600,2,FALSE)),"",VLOOKUP(C280,'Auction Summary'!$P$3:$R$600,2,FALSE))</f>
        <v/>
      </c>
      <c r="P280" s="16"/>
      <c r="Q280" s="95" t="e">
        <f>VLOOKUP(C280,'Member Details (HOF Only)'!$A$2:$U$219,4,FALSE)</f>
        <v>#N/A</v>
      </c>
      <c r="R280" s="13"/>
      <c r="S280" s="95" t="e">
        <f>VLOOKUP(C280,'Member Details (HOF Only)'!$A$2:$U$219,7,FALSE)</f>
        <v>#N/A</v>
      </c>
      <c r="T280" s="11">
        <f t="shared" si="4"/>
        <v>0</v>
      </c>
    </row>
    <row r="281" spans="1:20" x14ac:dyDescent="0.2">
      <c r="A281" s="18"/>
      <c r="B281" s="85"/>
      <c r="C281" s="19"/>
      <c r="D281" s="31"/>
      <c r="E281" s="24"/>
      <c r="F281" s="16"/>
      <c r="G281" s="16"/>
      <c r="H281" s="16"/>
      <c r="I281" s="16"/>
      <c r="J281" s="20"/>
      <c r="K281" s="16"/>
      <c r="L281" s="16"/>
      <c r="M281" s="16"/>
      <c r="N281" s="16"/>
      <c r="O281" s="16" t="str">
        <f>IF(ISNA(VLOOKUP(C281,'Auction Summary'!$P$3:$R$600,2,FALSE)),"",VLOOKUP(C281,'Auction Summary'!$P$3:$R$600,2,FALSE))</f>
        <v/>
      </c>
      <c r="P281" s="16"/>
      <c r="Q281" s="95" t="e">
        <f>VLOOKUP(C281,'Member Details (HOF Only)'!$A$2:$U$219,4,FALSE)</f>
        <v>#N/A</v>
      </c>
      <c r="R281" s="13"/>
      <c r="S281" s="95" t="e">
        <f>VLOOKUP(C281,'Member Details (HOF Only)'!$A$2:$U$219,7,FALSE)</f>
        <v>#N/A</v>
      </c>
      <c r="T281" s="11">
        <f t="shared" si="4"/>
        <v>0</v>
      </c>
    </row>
    <row r="282" spans="1:20" x14ac:dyDescent="0.2">
      <c r="A282" s="18"/>
      <c r="B282" s="85"/>
      <c r="C282" s="19"/>
      <c r="D282" s="31"/>
      <c r="E282" s="24"/>
      <c r="F282" s="16"/>
      <c r="G282" s="16"/>
      <c r="H282" s="16"/>
      <c r="I282" s="16"/>
      <c r="J282" s="20"/>
      <c r="K282" s="16"/>
      <c r="L282" s="16"/>
      <c r="M282" s="16"/>
      <c r="N282" s="16"/>
      <c r="O282" s="16" t="str">
        <f>IF(ISNA(VLOOKUP(C282,'Auction Summary'!$P$3:$R$600,2,FALSE)),"",VLOOKUP(C282,'Auction Summary'!$P$3:$R$600,2,FALSE))</f>
        <v/>
      </c>
      <c r="P282" s="16"/>
      <c r="Q282" s="95" t="e">
        <f>VLOOKUP(C282,'Member Details (HOF Only)'!$A$2:$U$219,4,FALSE)</f>
        <v>#N/A</v>
      </c>
      <c r="R282" s="13"/>
      <c r="S282" s="95" t="e">
        <f>VLOOKUP(C282,'Member Details (HOF Only)'!$A$2:$U$219,7,FALSE)</f>
        <v>#N/A</v>
      </c>
      <c r="T282" s="11">
        <f t="shared" si="4"/>
        <v>0</v>
      </c>
    </row>
    <row r="283" spans="1:20" x14ac:dyDescent="0.2">
      <c r="A283" s="18"/>
      <c r="B283" s="85"/>
      <c r="C283" s="19"/>
      <c r="D283" s="31"/>
      <c r="E283" s="24"/>
      <c r="F283" s="16"/>
      <c r="G283" s="16"/>
      <c r="H283" s="16"/>
      <c r="I283" s="16"/>
      <c r="J283" s="20"/>
      <c r="K283" s="16"/>
      <c r="L283" s="16"/>
      <c r="M283" s="16"/>
      <c r="N283" s="16"/>
      <c r="O283" s="16" t="str">
        <f>IF(ISNA(VLOOKUP(C283,'Auction Summary'!$P$3:$R$600,2,FALSE)),"",VLOOKUP(C283,'Auction Summary'!$P$3:$R$600,2,FALSE))</f>
        <v/>
      </c>
      <c r="P283" s="16"/>
      <c r="Q283" s="95" t="e">
        <f>VLOOKUP(C283,'Member Details (HOF Only)'!$A$2:$U$219,4,FALSE)</f>
        <v>#N/A</v>
      </c>
      <c r="R283" s="13"/>
      <c r="S283" s="95" t="e">
        <f>VLOOKUP(C283,'Member Details (HOF Only)'!$A$2:$U$219,7,FALSE)</f>
        <v>#N/A</v>
      </c>
      <c r="T283" s="11">
        <f t="shared" si="4"/>
        <v>0</v>
      </c>
    </row>
    <row r="284" spans="1:20" x14ac:dyDescent="0.2">
      <c r="A284" s="18"/>
      <c r="B284" s="85"/>
      <c r="C284" s="19"/>
      <c r="D284" s="31"/>
      <c r="E284" s="24"/>
      <c r="F284" s="16"/>
      <c r="G284" s="16"/>
      <c r="H284" s="16"/>
      <c r="I284" s="16"/>
      <c r="J284" s="20"/>
      <c r="K284" s="16"/>
      <c r="L284" s="16"/>
      <c r="M284" s="16"/>
      <c r="N284" s="16"/>
      <c r="O284" s="16" t="str">
        <f>IF(ISNA(VLOOKUP(C284,'Auction Summary'!$P$3:$R$600,2,FALSE)),"",VLOOKUP(C284,'Auction Summary'!$P$3:$R$600,2,FALSE))</f>
        <v/>
      </c>
      <c r="P284" s="16"/>
      <c r="Q284" s="95" t="e">
        <f>VLOOKUP(C284,'Member Details (HOF Only)'!$A$2:$U$219,4,FALSE)</f>
        <v>#N/A</v>
      </c>
      <c r="R284" s="13"/>
      <c r="S284" s="95" t="e">
        <f>VLOOKUP(C284,'Member Details (HOF Only)'!$A$2:$U$219,7,FALSE)</f>
        <v>#N/A</v>
      </c>
      <c r="T284" s="11">
        <f t="shared" si="4"/>
        <v>0</v>
      </c>
    </row>
    <row r="285" spans="1:20" x14ac:dyDescent="0.2">
      <c r="A285" s="18"/>
      <c r="B285" s="85"/>
      <c r="C285" s="19"/>
      <c r="D285" s="31"/>
      <c r="E285" s="24"/>
      <c r="F285" s="16"/>
      <c r="G285" s="16"/>
      <c r="H285" s="16"/>
      <c r="I285" s="16"/>
      <c r="J285" s="20"/>
      <c r="K285" s="16"/>
      <c r="L285" s="16"/>
      <c r="M285" s="16"/>
      <c r="N285" s="16"/>
      <c r="O285" s="16" t="str">
        <f>IF(ISNA(VLOOKUP(C285,'Auction Summary'!$P$3:$R$600,2,FALSE)),"",VLOOKUP(C285,'Auction Summary'!$P$3:$R$600,2,FALSE))</f>
        <v/>
      </c>
      <c r="P285" s="16"/>
      <c r="Q285" s="95" t="e">
        <f>VLOOKUP(C285,'Member Details (HOF Only)'!$A$2:$U$219,4,FALSE)</f>
        <v>#N/A</v>
      </c>
      <c r="R285" s="13"/>
      <c r="S285" s="95" t="e">
        <f>VLOOKUP(C285,'Member Details (HOF Only)'!$A$2:$U$219,7,FALSE)</f>
        <v>#N/A</v>
      </c>
      <c r="T285" s="11">
        <f t="shared" si="4"/>
        <v>0</v>
      </c>
    </row>
    <row r="286" spans="1:20" x14ac:dyDescent="0.2">
      <c r="A286" s="18"/>
      <c r="B286" s="85"/>
      <c r="C286" s="19"/>
      <c r="D286" s="31"/>
      <c r="E286" s="24"/>
      <c r="F286" s="16"/>
      <c r="G286" s="16"/>
      <c r="H286" s="16"/>
      <c r="I286" s="16"/>
      <c r="J286" s="20"/>
      <c r="K286" s="16"/>
      <c r="L286" s="16"/>
      <c r="M286" s="16"/>
      <c r="N286" s="16"/>
      <c r="O286" s="16" t="str">
        <f>IF(ISNA(VLOOKUP(C286,'Auction Summary'!$P$3:$R$600,2,FALSE)),"",VLOOKUP(C286,'Auction Summary'!$P$3:$R$600,2,FALSE))</f>
        <v/>
      </c>
      <c r="P286" s="16"/>
      <c r="Q286" s="95" t="e">
        <f>VLOOKUP(C286,'Member Details (HOF Only)'!$A$2:$U$219,4,FALSE)</f>
        <v>#N/A</v>
      </c>
      <c r="R286" s="13"/>
      <c r="S286" s="95" t="e">
        <f>VLOOKUP(C286,'Member Details (HOF Only)'!$A$2:$U$219,7,FALSE)</f>
        <v>#N/A</v>
      </c>
      <c r="T286" s="11">
        <f t="shared" si="4"/>
        <v>0</v>
      </c>
    </row>
    <row r="287" spans="1:20" x14ac:dyDescent="0.2">
      <c r="A287" s="18"/>
      <c r="B287" s="85"/>
      <c r="C287" s="19"/>
      <c r="D287" s="31"/>
      <c r="E287" s="24"/>
      <c r="F287" s="16"/>
      <c r="G287" s="16"/>
      <c r="H287" s="16"/>
      <c r="I287" s="16"/>
      <c r="J287" s="20"/>
      <c r="K287" s="16"/>
      <c r="L287" s="16"/>
      <c r="M287" s="16"/>
      <c r="N287" s="16"/>
      <c r="O287" s="16" t="str">
        <f>IF(ISNA(VLOOKUP(C287,'Auction Summary'!$P$3:$R$600,2,FALSE)),"",VLOOKUP(C287,'Auction Summary'!$P$3:$R$600,2,FALSE))</f>
        <v/>
      </c>
      <c r="P287" s="16"/>
      <c r="Q287" s="95" t="e">
        <f>VLOOKUP(C287,'Member Details (HOF Only)'!$A$2:$U$219,4,FALSE)</f>
        <v>#N/A</v>
      </c>
      <c r="R287" s="13"/>
      <c r="S287" s="95" t="e">
        <f>VLOOKUP(C287,'Member Details (HOF Only)'!$A$2:$U$219,7,FALSE)</f>
        <v>#N/A</v>
      </c>
      <c r="T287" s="11">
        <f t="shared" si="4"/>
        <v>0</v>
      </c>
    </row>
    <row r="288" spans="1:20" x14ac:dyDescent="0.2">
      <c r="A288" s="18"/>
      <c r="B288" s="85"/>
      <c r="C288" s="19"/>
      <c r="D288" s="31"/>
      <c r="E288" s="24"/>
      <c r="F288" s="16"/>
      <c r="G288" s="16"/>
      <c r="H288" s="16"/>
      <c r="I288" s="16"/>
      <c r="J288" s="20"/>
      <c r="K288" s="16"/>
      <c r="L288" s="16"/>
      <c r="M288" s="16"/>
      <c r="N288" s="16"/>
      <c r="O288" s="16" t="str">
        <f>IF(ISNA(VLOOKUP(C288,'Auction Summary'!$P$3:$R$600,2,FALSE)),"",VLOOKUP(C288,'Auction Summary'!$P$3:$R$600,2,FALSE))</f>
        <v/>
      </c>
      <c r="P288" s="16"/>
      <c r="Q288" s="95" t="e">
        <f>VLOOKUP(C288,'Member Details (HOF Only)'!$A$2:$U$219,4,FALSE)</f>
        <v>#N/A</v>
      </c>
      <c r="R288" s="13"/>
      <c r="S288" s="95" t="e">
        <f>VLOOKUP(C288,'Member Details (HOF Only)'!$A$2:$U$219,7,FALSE)</f>
        <v>#N/A</v>
      </c>
      <c r="T288" s="11">
        <f t="shared" si="4"/>
        <v>0</v>
      </c>
    </row>
    <row r="289" spans="1:20" x14ac:dyDescent="0.2">
      <c r="A289" s="18"/>
      <c r="B289" s="85"/>
      <c r="C289" s="19"/>
      <c r="D289" s="31"/>
      <c r="E289" s="24"/>
      <c r="F289" s="16"/>
      <c r="G289" s="16"/>
      <c r="H289" s="16"/>
      <c r="I289" s="16"/>
      <c r="J289" s="20"/>
      <c r="K289" s="16"/>
      <c r="L289" s="16"/>
      <c r="M289" s="16"/>
      <c r="N289" s="16"/>
      <c r="O289" s="16" t="str">
        <f>IF(ISNA(VLOOKUP(C289,'Auction Summary'!$P$3:$R$600,2,FALSE)),"",VLOOKUP(C289,'Auction Summary'!$P$3:$R$600,2,FALSE))</f>
        <v/>
      </c>
      <c r="P289" s="16"/>
      <c r="Q289" s="95" t="e">
        <f>VLOOKUP(C289,'Member Details (HOF Only)'!$A$2:$U$219,4,FALSE)</f>
        <v>#N/A</v>
      </c>
      <c r="R289" s="13"/>
      <c r="S289" s="95" t="e">
        <f>VLOOKUP(C289,'Member Details (HOF Only)'!$A$2:$U$219,7,FALSE)</f>
        <v>#N/A</v>
      </c>
      <c r="T289" s="11">
        <f t="shared" si="4"/>
        <v>0</v>
      </c>
    </row>
    <row r="290" spans="1:20" x14ac:dyDescent="0.2">
      <c r="A290" s="18"/>
      <c r="B290" s="85"/>
      <c r="C290" s="19"/>
      <c r="D290" s="31"/>
      <c r="E290" s="24"/>
      <c r="F290" s="16"/>
      <c r="G290" s="16"/>
      <c r="H290" s="16"/>
      <c r="I290" s="16"/>
      <c r="J290" s="20"/>
      <c r="K290" s="16"/>
      <c r="L290" s="16"/>
      <c r="M290" s="16"/>
      <c r="N290" s="16"/>
      <c r="O290" s="16" t="str">
        <f>IF(ISNA(VLOOKUP(C290,'Auction Summary'!$P$3:$R$600,2,FALSE)),"",VLOOKUP(C290,'Auction Summary'!$P$3:$R$600,2,FALSE))</f>
        <v/>
      </c>
      <c r="P290" s="16"/>
      <c r="Q290" s="95" t="e">
        <f>VLOOKUP(C290,'Member Details (HOF Only)'!$A$2:$U$219,4,FALSE)</f>
        <v>#N/A</v>
      </c>
      <c r="R290" s="13"/>
      <c r="S290" s="95" t="e">
        <f>VLOOKUP(C290,'Member Details (HOF Only)'!$A$2:$U$219,7,FALSE)</f>
        <v>#N/A</v>
      </c>
      <c r="T290" s="11">
        <f t="shared" si="4"/>
        <v>0</v>
      </c>
    </row>
    <row r="291" spans="1:20" x14ac:dyDescent="0.2">
      <c r="A291" s="18"/>
      <c r="B291" s="85"/>
      <c r="C291" s="19"/>
      <c r="D291" s="31"/>
      <c r="E291" s="24"/>
      <c r="F291" s="16"/>
      <c r="G291" s="16"/>
      <c r="H291" s="16"/>
      <c r="I291" s="16"/>
      <c r="J291" s="20"/>
      <c r="K291" s="16"/>
      <c r="L291" s="16"/>
      <c r="M291" s="16"/>
      <c r="N291" s="16"/>
      <c r="O291" s="16" t="str">
        <f>IF(ISNA(VLOOKUP(C291,'Auction Summary'!$P$3:$R$600,2,FALSE)),"",VLOOKUP(C291,'Auction Summary'!$P$3:$R$600,2,FALSE))</f>
        <v/>
      </c>
      <c r="P291" s="16"/>
      <c r="Q291" s="95" t="e">
        <f>VLOOKUP(C291,'Member Details (HOF Only)'!$A$2:$U$219,4,FALSE)</f>
        <v>#N/A</v>
      </c>
      <c r="R291" s="13"/>
      <c r="S291" s="95" t="e">
        <f>VLOOKUP(C291,'Member Details (HOF Only)'!$A$2:$U$219,7,FALSE)</f>
        <v>#N/A</v>
      </c>
      <c r="T291" s="11">
        <f t="shared" si="4"/>
        <v>0</v>
      </c>
    </row>
    <row r="292" spans="1:20" x14ac:dyDescent="0.2">
      <c r="A292" s="18"/>
      <c r="B292" s="85"/>
      <c r="C292" s="19"/>
      <c r="D292" s="31"/>
      <c r="E292" s="24"/>
      <c r="F292" s="16"/>
      <c r="G292" s="16"/>
      <c r="H292" s="16"/>
      <c r="I292" s="16"/>
      <c r="J292" s="20"/>
      <c r="K292" s="16"/>
      <c r="L292" s="16"/>
      <c r="M292" s="16"/>
      <c r="N292" s="16"/>
      <c r="O292" s="16" t="str">
        <f>IF(ISNA(VLOOKUP(C292,'Auction Summary'!$P$3:$R$600,2,FALSE)),"",VLOOKUP(C292,'Auction Summary'!$P$3:$R$600,2,FALSE))</f>
        <v/>
      </c>
      <c r="P292" s="16"/>
      <c r="Q292" s="95" t="e">
        <f>VLOOKUP(C292,'Member Details (HOF Only)'!$A$2:$U$219,4,FALSE)</f>
        <v>#N/A</v>
      </c>
      <c r="R292" s="13"/>
      <c r="S292" s="95" t="e">
        <f>VLOOKUP(C292,'Member Details (HOF Only)'!$A$2:$U$219,7,FALSE)</f>
        <v>#N/A</v>
      </c>
      <c r="T292" s="11">
        <f t="shared" si="4"/>
        <v>0</v>
      </c>
    </row>
    <row r="293" spans="1:20" x14ac:dyDescent="0.2">
      <c r="A293" s="18"/>
      <c r="B293" s="85"/>
      <c r="C293" s="19"/>
      <c r="D293" s="31"/>
      <c r="E293" s="24"/>
      <c r="F293" s="16"/>
      <c r="G293" s="16"/>
      <c r="H293" s="16"/>
      <c r="I293" s="16"/>
      <c r="J293" s="20"/>
      <c r="K293" s="16"/>
      <c r="L293" s="16"/>
      <c r="M293" s="16"/>
      <c r="N293" s="16"/>
      <c r="O293" s="16" t="str">
        <f>IF(ISNA(VLOOKUP(C293,'Auction Summary'!$P$3:$R$600,2,FALSE)),"",VLOOKUP(C293,'Auction Summary'!$P$3:$R$600,2,FALSE))</f>
        <v/>
      </c>
      <c r="P293" s="16"/>
      <c r="Q293" s="95" t="e">
        <f>VLOOKUP(C293,'Member Details (HOF Only)'!$A$2:$U$219,4,FALSE)</f>
        <v>#N/A</v>
      </c>
      <c r="R293" s="13"/>
      <c r="S293" s="95" t="e">
        <f>VLOOKUP(C293,'Member Details (HOF Only)'!$A$2:$U$219,7,FALSE)</f>
        <v>#N/A</v>
      </c>
      <c r="T293" s="11">
        <f t="shared" si="4"/>
        <v>0</v>
      </c>
    </row>
    <row r="294" spans="1:20" x14ac:dyDescent="0.2">
      <c r="A294" s="18"/>
      <c r="B294" s="85"/>
      <c r="C294" s="19"/>
      <c r="D294" s="31"/>
      <c r="E294" s="24"/>
      <c r="F294" s="16"/>
      <c r="G294" s="16"/>
      <c r="H294" s="16"/>
      <c r="I294" s="16"/>
      <c r="J294" s="20"/>
      <c r="K294" s="16"/>
      <c r="L294" s="16"/>
      <c r="M294" s="16"/>
      <c r="N294" s="16"/>
      <c r="O294" s="16" t="str">
        <f>IF(ISNA(VLOOKUP(C294,'Auction Summary'!$P$3:$R$600,2,FALSE)),"",VLOOKUP(C294,'Auction Summary'!$P$3:$R$600,2,FALSE))</f>
        <v/>
      </c>
      <c r="P294" s="16"/>
      <c r="Q294" s="95" t="e">
        <f>VLOOKUP(C294,'Member Details (HOF Only)'!$A$2:$U$219,4,FALSE)</f>
        <v>#N/A</v>
      </c>
      <c r="R294" s="13"/>
      <c r="S294" s="95" t="e">
        <f>VLOOKUP(C294,'Member Details (HOF Only)'!$A$2:$U$219,7,FALSE)</f>
        <v>#N/A</v>
      </c>
      <c r="T294" s="11">
        <f t="shared" si="4"/>
        <v>0</v>
      </c>
    </row>
    <row r="295" spans="1:20" x14ac:dyDescent="0.2">
      <c r="A295" s="18"/>
      <c r="B295" s="85"/>
      <c r="C295" s="19"/>
      <c r="D295" s="31"/>
      <c r="E295" s="24"/>
      <c r="F295" s="16"/>
      <c r="G295" s="16"/>
      <c r="H295" s="16"/>
      <c r="I295" s="16"/>
      <c r="J295" s="20"/>
      <c r="K295" s="16"/>
      <c r="L295" s="16"/>
      <c r="M295" s="16"/>
      <c r="N295" s="16"/>
      <c r="O295" s="16" t="str">
        <f>IF(ISNA(VLOOKUP(C295,'Auction Summary'!$P$3:$R$600,2,FALSE)),"",VLOOKUP(C295,'Auction Summary'!$P$3:$R$600,2,FALSE))</f>
        <v/>
      </c>
      <c r="P295" s="16"/>
      <c r="Q295" s="95" t="e">
        <f>VLOOKUP(C295,'Member Details (HOF Only)'!$A$2:$U$219,4,FALSE)</f>
        <v>#N/A</v>
      </c>
      <c r="R295" s="13"/>
      <c r="S295" s="95" t="e">
        <f>VLOOKUP(C295,'Member Details (HOF Only)'!$A$2:$U$219,7,FALSE)</f>
        <v>#N/A</v>
      </c>
      <c r="T295" s="11">
        <f t="shared" si="4"/>
        <v>0</v>
      </c>
    </row>
    <row r="296" spans="1:20" x14ac:dyDescent="0.2">
      <c r="A296" s="18"/>
      <c r="B296" s="85"/>
      <c r="C296" s="19"/>
      <c r="D296" s="31"/>
      <c r="E296" s="24"/>
      <c r="F296" s="16"/>
      <c r="G296" s="16"/>
      <c r="H296" s="16"/>
      <c r="I296" s="16"/>
      <c r="J296" s="20"/>
      <c r="K296" s="16"/>
      <c r="L296" s="16"/>
      <c r="M296" s="16"/>
      <c r="N296" s="16"/>
      <c r="O296" s="16" t="str">
        <f>IF(ISNA(VLOOKUP(C296,'Auction Summary'!$P$3:$R$600,2,FALSE)),"",VLOOKUP(C296,'Auction Summary'!$P$3:$R$600,2,FALSE))</f>
        <v/>
      </c>
      <c r="P296" s="16"/>
      <c r="Q296" s="95" t="e">
        <f>VLOOKUP(C296,'Member Details (HOF Only)'!$A$2:$U$219,4,FALSE)</f>
        <v>#N/A</v>
      </c>
      <c r="R296" s="13"/>
      <c r="S296" s="95" t="e">
        <f>VLOOKUP(C296,'Member Details (HOF Only)'!$A$2:$U$219,7,FALSE)</f>
        <v>#N/A</v>
      </c>
      <c r="T296" s="11">
        <f t="shared" si="4"/>
        <v>0</v>
      </c>
    </row>
    <row r="297" spans="1:20" x14ac:dyDescent="0.2">
      <c r="A297" s="18"/>
      <c r="B297" s="85"/>
      <c r="C297" s="19"/>
      <c r="D297" s="31"/>
      <c r="E297" s="24"/>
      <c r="F297" s="16"/>
      <c r="G297" s="16"/>
      <c r="H297" s="16"/>
      <c r="I297" s="16"/>
      <c r="J297" s="20"/>
      <c r="K297" s="16"/>
      <c r="L297" s="16"/>
      <c r="M297" s="16"/>
      <c r="N297" s="16"/>
      <c r="O297" s="16" t="str">
        <f>IF(ISNA(VLOOKUP(C297,'Auction Summary'!$P$3:$R$600,2,FALSE)),"",VLOOKUP(C297,'Auction Summary'!$P$3:$R$600,2,FALSE))</f>
        <v/>
      </c>
      <c r="P297" s="16"/>
      <c r="Q297" s="95" t="e">
        <f>VLOOKUP(C297,'Member Details (HOF Only)'!$A$2:$U$219,4,FALSE)</f>
        <v>#N/A</v>
      </c>
      <c r="R297" s="13"/>
      <c r="S297" s="95" t="e">
        <f>VLOOKUP(C297,'Member Details (HOF Only)'!$A$2:$U$219,7,FALSE)</f>
        <v>#N/A</v>
      </c>
      <c r="T297" s="11">
        <f t="shared" si="4"/>
        <v>0</v>
      </c>
    </row>
    <row r="298" spans="1:20" x14ac:dyDescent="0.2">
      <c r="A298" s="18"/>
      <c r="B298" s="85"/>
      <c r="C298" s="19"/>
      <c r="D298" s="31"/>
      <c r="E298" s="24"/>
      <c r="F298" s="16"/>
      <c r="G298" s="16"/>
      <c r="H298" s="16"/>
      <c r="I298" s="16"/>
      <c r="J298" s="20"/>
      <c r="K298" s="16"/>
      <c r="L298" s="16"/>
      <c r="M298" s="16"/>
      <c r="N298" s="16"/>
      <c r="O298" s="16" t="str">
        <f>IF(ISNA(VLOOKUP(C298,'Auction Summary'!$P$3:$R$600,2,FALSE)),"",VLOOKUP(C298,'Auction Summary'!$P$3:$R$600,2,FALSE))</f>
        <v/>
      </c>
      <c r="P298" s="16"/>
      <c r="Q298" s="95" t="e">
        <f>VLOOKUP(C298,'Member Details (HOF Only)'!$A$2:$U$219,4,FALSE)</f>
        <v>#N/A</v>
      </c>
      <c r="R298" s="13"/>
      <c r="S298" s="95" t="e">
        <f>VLOOKUP(C298,'Member Details (HOF Only)'!$A$2:$U$219,7,FALSE)</f>
        <v>#N/A</v>
      </c>
      <c r="T298" s="11">
        <f t="shared" si="4"/>
        <v>0</v>
      </c>
    </row>
    <row r="299" spans="1:20" x14ac:dyDescent="0.2">
      <c r="A299" s="18"/>
      <c r="B299" s="85"/>
      <c r="C299" s="19"/>
      <c r="D299" s="31"/>
      <c r="E299" s="24"/>
      <c r="F299" s="16"/>
      <c r="G299" s="16"/>
      <c r="H299" s="16"/>
      <c r="I299" s="16"/>
      <c r="J299" s="20"/>
      <c r="K299" s="16"/>
      <c r="L299" s="16"/>
      <c r="M299" s="16"/>
      <c r="N299" s="16"/>
      <c r="O299" s="16" t="str">
        <f>IF(ISNA(VLOOKUP(C299,'Auction Summary'!$P$3:$R$600,2,FALSE)),"",VLOOKUP(C299,'Auction Summary'!$P$3:$R$600,2,FALSE))</f>
        <v/>
      </c>
      <c r="P299" s="16"/>
      <c r="Q299" s="95" t="e">
        <f>VLOOKUP(C299,'Member Details (HOF Only)'!$A$2:$U$219,4,FALSE)</f>
        <v>#N/A</v>
      </c>
      <c r="R299" s="13"/>
      <c r="S299" s="95" t="e">
        <f>VLOOKUP(C299,'Member Details (HOF Only)'!$A$2:$U$219,7,FALSE)</f>
        <v>#N/A</v>
      </c>
      <c r="T299" s="11">
        <f t="shared" si="4"/>
        <v>0</v>
      </c>
    </row>
    <row r="300" spans="1:20" x14ac:dyDescent="0.2">
      <c r="A300" s="18"/>
      <c r="B300" s="85"/>
      <c r="C300" s="19"/>
      <c r="D300" s="31"/>
      <c r="E300" s="24"/>
      <c r="F300" s="16"/>
      <c r="G300" s="16"/>
      <c r="H300" s="16"/>
      <c r="I300" s="16"/>
      <c r="J300" s="20"/>
      <c r="K300" s="16"/>
      <c r="L300" s="16"/>
      <c r="M300" s="16"/>
      <c r="N300" s="16"/>
      <c r="O300" s="16" t="str">
        <f>IF(ISNA(VLOOKUP(C300,'Auction Summary'!$P$3:$R$600,2,FALSE)),"",VLOOKUP(C300,'Auction Summary'!$P$3:$R$600,2,FALSE))</f>
        <v/>
      </c>
      <c r="P300" s="16"/>
      <c r="Q300" s="95" t="e">
        <f>VLOOKUP(C300,'Member Details (HOF Only)'!$A$2:$U$219,4,FALSE)</f>
        <v>#N/A</v>
      </c>
      <c r="R300" s="13"/>
      <c r="S300" s="95" t="e">
        <f>VLOOKUP(C300,'Member Details (HOF Only)'!$A$2:$U$219,7,FALSE)</f>
        <v>#N/A</v>
      </c>
      <c r="T300" s="11">
        <f t="shared" si="4"/>
        <v>0</v>
      </c>
    </row>
    <row r="301" spans="1:20" x14ac:dyDescent="0.2">
      <c r="A301" s="18"/>
      <c r="B301" s="85"/>
      <c r="C301" s="19"/>
      <c r="D301" s="31"/>
      <c r="E301" s="24"/>
      <c r="F301" s="16"/>
      <c r="G301" s="16"/>
      <c r="H301" s="16"/>
      <c r="I301" s="16"/>
      <c r="J301" s="20"/>
      <c r="K301" s="16"/>
      <c r="L301" s="16"/>
      <c r="M301" s="16"/>
      <c r="N301" s="16"/>
      <c r="O301" s="16" t="str">
        <f>IF(ISNA(VLOOKUP(C301,'Auction Summary'!$P$3:$R$600,2,FALSE)),"",VLOOKUP(C301,'Auction Summary'!$P$3:$R$600,2,FALSE))</f>
        <v/>
      </c>
      <c r="P301" s="16"/>
      <c r="Q301" s="95" t="e">
        <f>VLOOKUP(C301,'Member Details (HOF Only)'!$A$2:$U$219,4,FALSE)</f>
        <v>#N/A</v>
      </c>
      <c r="R301" s="13"/>
      <c r="S301" s="95" t="e">
        <f>VLOOKUP(C301,'Member Details (HOF Only)'!$A$2:$U$219,7,FALSE)</f>
        <v>#N/A</v>
      </c>
      <c r="T301" s="11">
        <f t="shared" si="4"/>
        <v>0</v>
      </c>
    </row>
    <row r="302" spans="1:20" x14ac:dyDescent="0.2">
      <c r="A302" s="18"/>
      <c r="B302" s="85"/>
      <c r="C302" s="19"/>
      <c r="D302" s="31"/>
      <c r="E302" s="24"/>
      <c r="F302" s="16"/>
      <c r="G302" s="16"/>
      <c r="H302" s="16"/>
      <c r="I302" s="16"/>
      <c r="J302" s="20"/>
      <c r="K302" s="16"/>
      <c r="L302" s="16"/>
      <c r="M302" s="16"/>
      <c r="N302" s="16"/>
      <c r="O302" s="16" t="str">
        <f>IF(ISNA(VLOOKUP(C302,'Auction Summary'!$P$3:$R$600,2,FALSE)),"",VLOOKUP(C302,'Auction Summary'!$P$3:$R$600,2,FALSE))</f>
        <v/>
      </c>
      <c r="P302" s="16"/>
      <c r="Q302" s="95" t="e">
        <f>VLOOKUP(C302,'Member Details (HOF Only)'!$A$2:$U$219,4,FALSE)</f>
        <v>#N/A</v>
      </c>
      <c r="R302" s="13"/>
      <c r="S302" s="95" t="e">
        <f>VLOOKUP(C302,'Member Details (HOF Only)'!$A$2:$U$219,7,FALSE)</f>
        <v>#N/A</v>
      </c>
      <c r="T302" s="11">
        <f t="shared" si="4"/>
        <v>0</v>
      </c>
    </row>
    <row r="303" spans="1:20" x14ac:dyDescent="0.2">
      <c r="A303" s="18"/>
      <c r="B303" s="85"/>
      <c r="C303" s="19"/>
      <c r="D303" s="31"/>
      <c r="E303" s="24"/>
      <c r="F303" s="16"/>
      <c r="G303" s="16"/>
      <c r="H303" s="16"/>
      <c r="I303" s="16"/>
      <c r="J303" s="20"/>
      <c r="K303" s="16"/>
      <c r="L303" s="16"/>
      <c r="M303" s="16"/>
      <c r="N303" s="16"/>
      <c r="O303" s="16" t="str">
        <f>IF(ISNA(VLOOKUP(C303,'Auction Summary'!$P$3:$R$600,2,FALSE)),"",VLOOKUP(C303,'Auction Summary'!$P$3:$R$600,2,FALSE))</f>
        <v/>
      </c>
      <c r="P303" s="16"/>
      <c r="Q303" s="95" t="e">
        <f>VLOOKUP(C303,'Member Details (HOF Only)'!$A$2:$U$219,4,FALSE)</f>
        <v>#N/A</v>
      </c>
      <c r="R303" s="13"/>
      <c r="S303" s="95" t="e">
        <f>VLOOKUP(C303,'Member Details (HOF Only)'!$A$2:$U$219,7,FALSE)</f>
        <v>#N/A</v>
      </c>
      <c r="T303" s="11">
        <f t="shared" si="4"/>
        <v>0</v>
      </c>
    </row>
    <row r="304" spans="1:20" x14ac:dyDescent="0.2">
      <c r="A304" s="18"/>
      <c r="B304" s="85"/>
      <c r="C304" s="19"/>
      <c r="D304" s="31"/>
      <c r="E304" s="24"/>
      <c r="F304" s="16"/>
      <c r="G304" s="16"/>
      <c r="H304" s="16"/>
      <c r="I304" s="16"/>
      <c r="J304" s="20"/>
      <c r="K304" s="16"/>
      <c r="L304" s="16"/>
      <c r="M304" s="16"/>
      <c r="N304" s="16"/>
      <c r="O304" s="16" t="str">
        <f>IF(ISNA(VLOOKUP(C304,'Auction Summary'!$P$3:$R$600,2,FALSE)),"",VLOOKUP(C304,'Auction Summary'!$P$3:$R$600,2,FALSE))</f>
        <v/>
      </c>
      <c r="P304" s="16"/>
      <c r="Q304" s="95" t="e">
        <f>VLOOKUP(C304,'Member Details (HOF Only)'!$A$2:$U$219,4,FALSE)</f>
        <v>#N/A</v>
      </c>
      <c r="R304" s="13"/>
      <c r="S304" s="95" t="e">
        <f>VLOOKUP(C304,'Member Details (HOF Only)'!$A$2:$U$219,7,FALSE)</f>
        <v>#N/A</v>
      </c>
      <c r="T304" s="11">
        <f t="shared" si="4"/>
        <v>0</v>
      </c>
    </row>
    <row r="305" spans="1:20" x14ac:dyDescent="0.2">
      <c r="A305" s="18"/>
      <c r="B305" s="85"/>
      <c r="C305" s="19"/>
      <c r="D305" s="31"/>
      <c r="E305" s="24"/>
      <c r="F305" s="16"/>
      <c r="G305" s="16"/>
      <c r="H305" s="16"/>
      <c r="I305" s="16"/>
      <c r="J305" s="20"/>
      <c r="K305" s="16"/>
      <c r="L305" s="16"/>
      <c r="M305" s="16"/>
      <c r="N305" s="16"/>
      <c r="O305" s="16" t="str">
        <f>IF(ISNA(VLOOKUP(C305,'Auction Summary'!$P$3:$R$600,2,FALSE)),"",VLOOKUP(C305,'Auction Summary'!$P$3:$R$600,2,FALSE))</f>
        <v/>
      </c>
      <c r="P305" s="16"/>
      <c r="Q305" s="95" t="e">
        <f>VLOOKUP(C305,'Member Details (HOF Only)'!$A$2:$U$219,4,FALSE)</f>
        <v>#N/A</v>
      </c>
      <c r="R305" s="13"/>
      <c r="S305" s="95" t="e">
        <f>VLOOKUP(C305,'Member Details (HOF Only)'!$A$2:$U$219,7,FALSE)</f>
        <v>#N/A</v>
      </c>
      <c r="T305" s="11">
        <f t="shared" si="4"/>
        <v>0</v>
      </c>
    </row>
    <row r="306" spans="1:20" x14ac:dyDescent="0.2">
      <c r="A306" s="18"/>
      <c r="B306" s="85"/>
      <c r="C306" s="19"/>
      <c r="D306" s="31"/>
      <c r="E306" s="24"/>
      <c r="F306" s="16"/>
      <c r="G306" s="16"/>
      <c r="H306" s="16"/>
      <c r="I306" s="16"/>
      <c r="J306" s="20"/>
      <c r="K306" s="16"/>
      <c r="L306" s="16"/>
      <c r="M306" s="16"/>
      <c r="N306" s="16"/>
      <c r="O306" s="16" t="str">
        <f>IF(ISNA(VLOOKUP(C306,'Auction Summary'!$P$3:$R$600,2,FALSE)),"",VLOOKUP(C306,'Auction Summary'!$P$3:$R$600,2,FALSE))</f>
        <v/>
      </c>
      <c r="P306" s="16"/>
      <c r="Q306" s="95" t="e">
        <f>VLOOKUP(C306,'Member Details (HOF Only)'!$A$2:$U$219,4,FALSE)</f>
        <v>#N/A</v>
      </c>
      <c r="R306" s="13"/>
      <c r="S306" s="95" t="e">
        <f>VLOOKUP(C306,'Member Details (HOF Only)'!$A$2:$U$219,7,FALSE)</f>
        <v>#N/A</v>
      </c>
      <c r="T306" s="11">
        <f t="shared" si="4"/>
        <v>0</v>
      </c>
    </row>
    <row r="307" spans="1:20" x14ac:dyDescent="0.2">
      <c r="A307" s="18"/>
      <c r="B307" s="85"/>
      <c r="C307" s="19"/>
      <c r="D307" s="31"/>
      <c r="E307" s="24"/>
      <c r="F307" s="16"/>
      <c r="G307" s="16"/>
      <c r="H307" s="16"/>
      <c r="I307" s="16"/>
      <c r="J307" s="20"/>
      <c r="K307" s="16"/>
      <c r="L307" s="16"/>
      <c r="M307" s="16"/>
      <c r="N307" s="16"/>
      <c r="O307" s="16" t="str">
        <f>IF(ISNA(VLOOKUP(C307,'Auction Summary'!$P$3:$R$600,2,FALSE)),"",VLOOKUP(C307,'Auction Summary'!$P$3:$R$600,2,FALSE))</f>
        <v/>
      </c>
      <c r="P307" s="16"/>
      <c r="Q307" s="95" t="e">
        <f>VLOOKUP(C307,'Member Details (HOF Only)'!$A$2:$U$219,4,FALSE)</f>
        <v>#N/A</v>
      </c>
      <c r="R307" s="13"/>
      <c r="S307" s="95" t="e">
        <f>VLOOKUP(C307,'Member Details (HOF Only)'!$A$2:$U$219,7,FALSE)</f>
        <v>#N/A</v>
      </c>
      <c r="T307" s="11">
        <f t="shared" si="4"/>
        <v>0</v>
      </c>
    </row>
    <row r="308" spans="1:20" x14ac:dyDescent="0.2">
      <c r="A308" s="18"/>
      <c r="B308" s="85"/>
      <c r="C308" s="19"/>
      <c r="D308" s="31"/>
      <c r="E308" s="24"/>
      <c r="F308" s="16"/>
      <c r="G308" s="16"/>
      <c r="H308" s="16"/>
      <c r="I308" s="16"/>
      <c r="J308" s="20"/>
      <c r="K308" s="16"/>
      <c r="L308" s="16"/>
      <c r="M308" s="16"/>
      <c r="N308" s="16"/>
      <c r="O308" s="16" t="str">
        <f>IF(ISNA(VLOOKUP(C308,'Auction Summary'!$P$3:$R$600,2,FALSE)),"",VLOOKUP(C308,'Auction Summary'!$P$3:$R$600,2,FALSE))</f>
        <v/>
      </c>
      <c r="P308" s="16"/>
      <c r="Q308" s="95" t="e">
        <f>VLOOKUP(C308,'Member Details (HOF Only)'!$A$2:$U$219,4,FALSE)</f>
        <v>#N/A</v>
      </c>
      <c r="R308" s="13"/>
      <c r="S308" s="95" t="e">
        <f>VLOOKUP(C308,'Member Details (HOF Only)'!$A$2:$U$219,7,FALSE)</f>
        <v>#N/A</v>
      </c>
      <c r="T308" s="11">
        <f t="shared" si="4"/>
        <v>0</v>
      </c>
    </row>
    <row r="309" spans="1:20" x14ac:dyDescent="0.2">
      <c r="A309" s="18"/>
      <c r="B309" s="85"/>
      <c r="C309" s="19"/>
      <c r="D309" s="31"/>
      <c r="E309" s="24"/>
      <c r="F309" s="16"/>
      <c r="G309" s="16"/>
      <c r="H309" s="16"/>
      <c r="I309" s="16"/>
      <c r="J309" s="20"/>
      <c r="K309" s="16"/>
      <c r="L309" s="16"/>
      <c r="M309" s="16"/>
      <c r="N309" s="16"/>
      <c r="O309" s="16" t="str">
        <f>IF(ISNA(VLOOKUP(C309,'Auction Summary'!$P$3:$R$600,2,FALSE)),"",VLOOKUP(C309,'Auction Summary'!$P$3:$R$600,2,FALSE))</f>
        <v/>
      </c>
      <c r="P309" s="16"/>
      <c r="Q309" s="95" t="e">
        <f>VLOOKUP(C309,'Member Details (HOF Only)'!$A$2:$U$219,4,FALSE)</f>
        <v>#N/A</v>
      </c>
      <c r="R309" s="13"/>
      <c r="S309" s="95" t="e">
        <f>VLOOKUP(C309,'Member Details (HOF Only)'!$A$2:$U$219,7,FALSE)</f>
        <v>#N/A</v>
      </c>
      <c r="T309" s="11">
        <f t="shared" si="4"/>
        <v>0</v>
      </c>
    </row>
    <row r="310" spans="1:20" x14ac:dyDescent="0.2">
      <c r="A310" s="18"/>
      <c r="B310" s="85"/>
      <c r="C310" s="19"/>
      <c r="D310" s="31"/>
      <c r="E310" s="24"/>
      <c r="F310" s="16"/>
      <c r="G310" s="16"/>
      <c r="H310" s="16"/>
      <c r="I310" s="16"/>
      <c r="J310" s="20"/>
      <c r="K310" s="16"/>
      <c r="L310" s="16"/>
      <c r="M310" s="16"/>
      <c r="N310" s="16"/>
      <c r="O310" s="16" t="str">
        <f>IF(ISNA(VLOOKUP(C310,'Auction Summary'!$P$3:$R$600,2,FALSE)),"",VLOOKUP(C310,'Auction Summary'!$P$3:$R$600,2,FALSE))</f>
        <v/>
      </c>
      <c r="P310" s="16"/>
      <c r="Q310" s="95" t="e">
        <f>VLOOKUP(C310,'Member Details (HOF Only)'!$A$2:$U$219,4,FALSE)</f>
        <v>#N/A</v>
      </c>
      <c r="R310" s="13"/>
      <c r="S310" s="95" t="e">
        <f>VLOOKUP(C310,'Member Details (HOF Only)'!$A$2:$U$219,7,FALSE)</f>
        <v>#N/A</v>
      </c>
      <c r="T310" s="11">
        <f t="shared" si="4"/>
        <v>0</v>
      </c>
    </row>
    <row r="311" spans="1:20" x14ac:dyDescent="0.2">
      <c r="A311" s="18"/>
      <c r="B311" s="85"/>
      <c r="C311" s="19"/>
      <c r="D311" s="31"/>
      <c r="E311" s="24"/>
      <c r="F311" s="16"/>
      <c r="G311" s="16"/>
      <c r="H311" s="16"/>
      <c r="I311" s="16"/>
      <c r="J311" s="20"/>
      <c r="K311" s="16"/>
      <c r="L311" s="16"/>
      <c r="M311" s="16"/>
      <c r="N311" s="16"/>
      <c r="O311" s="16" t="str">
        <f>IF(ISNA(VLOOKUP(C311,'Auction Summary'!$P$3:$R$600,2,FALSE)),"",VLOOKUP(C311,'Auction Summary'!$P$3:$R$600,2,FALSE))</f>
        <v/>
      </c>
      <c r="P311" s="16"/>
      <c r="Q311" s="95" t="e">
        <f>VLOOKUP(C311,'Member Details (HOF Only)'!$A$2:$U$219,4,FALSE)</f>
        <v>#N/A</v>
      </c>
      <c r="R311" s="13"/>
      <c r="S311" s="95" t="e">
        <f>VLOOKUP(C311,'Member Details (HOF Only)'!$A$2:$U$219,7,FALSE)</f>
        <v>#N/A</v>
      </c>
      <c r="T311" s="11">
        <f t="shared" si="4"/>
        <v>0</v>
      </c>
    </row>
    <row r="312" spans="1:20" x14ac:dyDescent="0.2">
      <c r="A312" s="18"/>
      <c r="B312" s="85"/>
      <c r="C312" s="19"/>
      <c r="D312" s="31"/>
      <c r="E312" s="24"/>
      <c r="F312" s="16"/>
      <c r="G312" s="16"/>
      <c r="H312" s="16"/>
      <c r="I312" s="16"/>
      <c r="J312" s="20"/>
      <c r="K312" s="16"/>
      <c r="L312" s="16"/>
      <c r="M312" s="16"/>
      <c r="N312" s="16"/>
      <c r="O312" s="16" t="str">
        <f>IF(ISNA(VLOOKUP(C312,'Auction Summary'!$P$3:$R$600,2,FALSE)),"",VLOOKUP(C312,'Auction Summary'!$P$3:$R$600,2,FALSE))</f>
        <v/>
      </c>
      <c r="P312" s="16"/>
      <c r="Q312" s="95" t="e">
        <f>VLOOKUP(C312,'Member Details (HOF Only)'!$A$2:$U$219,4,FALSE)</f>
        <v>#N/A</v>
      </c>
      <c r="R312" s="13"/>
      <c r="S312" s="95" t="e">
        <f>VLOOKUP(C312,'Member Details (HOF Only)'!$A$2:$U$219,7,FALSE)</f>
        <v>#N/A</v>
      </c>
      <c r="T312" s="11">
        <f t="shared" si="4"/>
        <v>0</v>
      </c>
    </row>
    <row r="313" spans="1:20" x14ac:dyDescent="0.2">
      <c r="A313" s="18"/>
      <c r="B313" s="85"/>
      <c r="C313" s="19"/>
      <c r="D313" s="31"/>
      <c r="E313" s="24"/>
      <c r="F313" s="16"/>
      <c r="G313" s="16"/>
      <c r="H313" s="16"/>
      <c r="I313" s="16"/>
      <c r="J313" s="20"/>
      <c r="K313" s="16"/>
      <c r="L313" s="16"/>
      <c r="M313" s="16"/>
      <c r="N313" s="16"/>
      <c r="O313" s="16" t="str">
        <f>IF(ISNA(VLOOKUP(C313,'Auction Summary'!$P$3:$R$600,2,FALSE)),"",VLOOKUP(C313,'Auction Summary'!$P$3:$R$600,2,FALSE))</f>
        <v/>
      </c>
      <c r="P313" s="16"/>
      <c r="Q313" s="95" t="e">
        <f>VLOOKUP(C313,'Member Details (HOF Only)'!$A$2:$U$219,4,FALSE)</f>
        <v>#N/A</v>
      </c>
      <c r="R313" s="13"/>
      <c r="S313" s="95" t="e">
        <f>VLOOKUP(C313,'Member Details (HOF Only)'!$A$2:$U$219,7,FALSE)</f>
        <v>#N/A</v>
      </c>
      <c r="T313" s="11">
        <f t="shared" si="4"/>
        <v>0</v>
      </c>
    </row>
    <row r="314" spans="1:20" x14ac:dyDescent="0.2">
      <c r="A314" s="18"/>
      <c r="B314" s="85"/>
      <c r="C314" s="19"/>
      <c r="D314" s="31"/>
      <c r="E314" s="24"/>
      <c r="F314" s="16"/>
      <c r="G314" s="16"/>
      <c r="H314" s="16"/>
      <c r="I314" s="16"/>
      <c r="J314" s="20"/>
      <c r="K314" s="16"/>
      <c r="L314" s="16"/>
      <c r="M314" s="16"/>
      <c r="N314" s="16"/>
      <c r="O314" s="16" t="str">
        <f>IF(ISNA(VLOOKUP(C314,'Auction Summary'!$P$3:$R$600,2,FALSE)),"",VLOOKUP(C314,'Auction Summary'!$P$3:$R$600,2,FALSE))</f>
        <v/>
      </c>
      <c r="P314" s="16"/>
      <c r="Q314" s="95" t="e">
        <f>VLOOKUP(C314,'Member Details (HOF Only)'!$A$2:$U$219,4,FALSE)</f>
        <v>#N/A</v>
      </c>
      <c r="R314" s="13"/>
      <c r="S314" s="95" t="e">
        <f>VLOOKUP(C314,'Member Details (HOF Only)'!$A$2:$U$219,7,FALSE)</f>
        <v>#N/A</v>
      </c>
      <c r="T314" s="11">
        <f t="shared" si="4"/>
        <v>0</v>
      </c>
    </row>
    <row r="315" spans="1:20" x14ac:dyDescent="0.2">
      <c r="A315" s="18"/>
      <c r="B315" s="85"/>
      <c r="C315" s="19"/>
      <c r="D315" s="31"/>
      <c r="E315" s="24"/>
      <c r="F315" s="16"/>
      <c r="G315" s="16"/>
      <c r="H315" s="16"/>
      <c r="I315" s="16"/>
      <c r="J315" s="20"/>
      <c r="K315" s="16"/>
      <c r="L315" s="16"/>
      <c r="M315" s="16"/>
      <c r="N315" s="16"/>
      <c r="O315" s="16" t="str">
        <f>IF(ISNA(VLOOKUP(C315,'Auction Summary'!$P$3:$R$600,2,FALSE)),"",VLOOKUP(C315,'Auction Summary'!$P$3:$R$600,2,FALSE))</f>
        <v/>
      </c>
      <c r="P315" s="16"/>
      <c r="Q315" s="95" t="e">
        <f>VLOOKUP(C315,'Member Details (HOF Only)'!$A$2:$U$219,4,FALSE)</f>
        <v>#N/A</v>
      </c>
      <c r="R315" s="13"/>
      <c r="S315" s="95" t="e">
        <f>VLOOKUP(C315,'Member Details (HOF Only)'!$A$2:$U$219,7,FALSE)</f>
        <v>#N/A</v>
      </c>
      <c r="T315" s="11">
        <f t="shared" si="4"/>
        <v>0</v>
      </c>
    </row>
    <row r="316" spans="1:20" x14ac:dyDescent="0.2">
      <c r="A316" s="18"/>
      <c r="B316" s="85"/>
      <c r="C316" s="19"/>
      <c r="D316" s="31"/>
      <c r="E316" s="24"/>
      <c r="F316" s="16"/>
      <c r="G316" s="16"/>
      <c r="H316" s="16"/>
      <c r="I316" s="16"/>
      <c r="J316" s="20"/>
      <c r="K316" s="16"/>
      <c r="L316" s="16"/>
      <c r="M316" s="16"/>
      <c r="N316" s="16"/>
      <c r="O316" s="16" t="str">
        <f>IF(ISNA(VLOOKUP(C316,'Auction Summary'!$P$3:$R$600,2,FALSE)),"",VLOOKUP(C316,'Auction Summary'!$P$3:$R$600,2,FALSE))</f>
        <v/>
      </c>
      <c r="P316" s="16"/>
      <c r="Q316" s="95" t="e">
        <f>VLOOKUP(C316,'Member Details (HOF Only)'!$A$2:$U$219,4,FALSE)</f>
        <v>#N/A</v>
      </c>
      <c r="R316" s="13"/>
      <c r="S316" s="95" t="e">
        <f>VLOOKUP(C316,'Member Details (HOF Only)'!$A$2:$U$219,7,FALSE)</f>
        <v>#N/A</v>
      </c>
      <c r="T316" s="11">
        <f t="shared" si="4"/>
        <v>0</v>
      </c>
    </row>
    <row r="317" spans="1:20" x14ac:dyDescent="0.2">
      <c r="A317" s="18"/>
      <c r="B317" s="85"/>
      <c r="C317" s="19"/>
      <c r="D317" s="31"/>
      <c r="E317" s="24"/>
      <c r="F317" s="16"/>
      <c r="G317" s="16"/>
      <c r="H317" s="16"/>
      <c r="I317" s="16"/>
      <c r="J317" s="20"/>
      <c r="K317" s="16"/>
      <c r="L317" s="16"/>
      <c r="M317" s="16"/>
      <c r="N317" s="16"/>
      <c r="O317" s="16" t="str">
        <f>IF(ISNA(VLOOKUP(C317,'Auction Summary'!$P$3:$R$600,2,FALSE)),"",VLOOKUP(C317,'Auction Summary'!$P$3:$R$600,2,FALSE))</f>
        <v/>
      </c>
      <c r="P317" s="16"/>
      <c r="Q317" s="95" t="e">
        <f>VLOOKUP(C317,'Member Details (HOF Only)'!$A$2:$U$219,4,FALSE)</f>
        <v>#N/A</v>
      </c>
      <c r="R317" s="13"/>
      <c r="S317" s="95" t="e">
        <f>VLOOKUP(C317,'Member Details (HOF Only)'!$A$2:$U$219,7,FALSE)</f>
        <v>#N/A</v>
      </c>
      <c r="T317" s="11">
        <f t="shared" si="4"/>
        <v>0</v>
      </c>
    </row>
    <row r="318" spans="1:20" x14ac:dyDescent="0.2">
      <c r="A318" s="18"/>
      <c r="B318" s="85"/>
      <c r="C318" s="19"/>
      <c r="D318" s="31"/>
      <c r="E318" s="24"/>
      <c r="F318" s="16"/>
      <c r="G318" s="16"/>
      <c r="H318" s="16"/>
      <c r="I318" s="16"/>
      <c r="J318" s="20"/>
      <c r="K318" s="16"/>
      <c r="L318" s="16"/>
      <c r="M318" s="16"/>
      <c r="N318" s="16"/>
      <c r="O318" s="16" t="str">
        <f>IF(ISNA(VLOOKUP(C318,'Auction Summary'!$P$3:$R$600,2,FALSE)),"",VLOOKUP(C318,'Auction Summary'!$P$3:$R$600,2,FALSE))</f>
        <v/>
      </c>
      <c r="P318" s="16"/>
      <c r="Q318" s="95" t="e">
        <f>VLOOKUP(C318,'Member Details (HOF Only)'!$A$2:$U$219,4,FALSE)</f>
        <v>#N/A</v>
      </c>
      <c r="R318" s="13"/>
      <c r="S318" s="95" t="e">
        <f>VLOOKUP(C318,'Member Details (HOF Only)'!$A$2:$U$219,7,FALSE)</f>
        <v>#N/A</v>
      </c>
      <c r="T318" s="11">
        <f t="shared" si="4"/>
        <v>0</v>
      </c>
    </row>
    <row r="319" spans="1:20" x14ac:dyDescent="0.2">
      <c r="A319" s="18"/>
      <c r="B319" s="85"/>
      <c r="C319" s="19"/>
      <c r="D319" s="31"/>
      <c r="E319" s="24"/>
      <c r="F319" s="16"/>
      <c r="G319" s="16"/>
      <c r="H319" s="16"/>
      <c r="I319" s="16"/>
      <c r="J319" s="20"/>
      <c r="K319" s="16"/>
      <c r="L319" s="16"/>
      <c r="M319" s="16"/>
      <c r="N319" s="16"/>
      <c r="O319" s="16" t="str">
        <f>IF(ISNA(VLOOKUP(C319,'Auction Summary'!$P$3:$R$600,2,FALSE)),"",VLOOKUP(C319,'Auction Summary'!$P$3:$R$600,2,FALSE))</f>
        <v/>
      </c>
      <c r="P319" s="16"/>
      <c r="Q319" s="95" t="e">
        <f>VLOOKUP(C319,'Member Details (HOF Only)'!$A$2:$U$219,4,FALSE)</f>
        <v>#N/A</v>
      </c>
      <c r="R319" s="13"/>
      <c r="S319" s="95" t="e">
        <f>VLOOKUP(C319,'Member Details (HOF Only)'!$A$2:$U$219,7,FALSE)</f>
        <v>#N/A</v>
      </c>
      <c r="T319" s="11">
        <f t="shared" si="4"/>
        <v>0</v>
      </c>
    </row>
    <row r="320" spans="1:20" x14ac:dyDescent="0.2">
      <c r="A320" s="18"/>
      <c r="B320" s="85"/>
      <c r="C320" s="19"/>
      <c r="D320" s="31"/>
      <c r="E320" s="24"/>
      <c r="F320" s="16"/>
      <c r="G320" s="16"/>
      <c r="H320" s="16"/>
      <c r="I320" s="16"/>
      <c r="J320" s="20"/>
      <c r="K320" s="16"/>
      <c r="L320" s="16"/>
      <c r="M320" s="16"/>
      <c r="N320" s="16"/>
      <c r="O320" s="16" t="str">
        <f>IF(ISNA(VLOOKUP(C320,'Auction Summary'!$P$3:$R$600,2,FALSE)),"",VLOOKUP(C320,'Auction Summary'!$P$3:$R$600,2,FALSE))</f>
        <v/>
      </c>
      <c r="P320" s="16"/>
      <c r="Q320" s="95" t="e">
        <f>VLOOKUP(C320,'Member Details (HOF Only)'!$A$2:$U$219,4,FALSE)</f>
        <v>#N/A</v>
      </c>
      <c r="R320" s="13"/>
      <c r="S320" s="95" t="e">
        <f>VLOOKUP(C320,'Member Details (HOF Only)'!$A$2:$U$219,7,FALSE)</f>
        <v>#N/A</v>
      </c>
      <c r="T320" s="11">
        <f t="shared" si="4"/>
        <v>0</v>
      </c>
    </row>
    <row r="321" spans="1:20" x14ac:dyDescent="0.2">
      <c r="A321" s="18"/>
      <c r="B321" s="85"/>
      <c r="C321" s="19"/>
      <c r="D321" s="31"/>
      <c r="E321" s="24"/>
      <c r="F321" s="16"/>
      <c r="G321" s="16"/>
      <c r="H321" s="16"/>
      <c r="I321" s="16"/>
      <c r="J321" s="20"/>
      <c r="K321" s="16"/>
      <c r="L321" s="16"/>
      <c r="M321" s="16"/>
      <c r="N321" s="16"/>
      <c r="O321" s="16" t="str">
        <f>IF(ISNA(VLOOKUP(C321,'Auction Summary'!$P$3:$R$600,2,FALSE)),"",VLOOKUP(C321,'Auction Summary'!$P$3:$R$600,2,FALSE))</f>
        <v/>
      </c>
      <c r="P321" s="16"/>
      <c r="Q321" s="95" t="e">
        <f>VLOOKUP(C321,'Member Details (HOF Only)'!$A$2:$U$219,4,FALSE)</f>
        <v>#N/A</v>
      </c>
      <c r="R321" s="13"/>
      <c r="S321" s="95" t="e">
        <f>VLOOKUP(C321,'Member Details (HOF Only)'!$A$2:$U$219,7,FALSE)</f>
        <v>#N/A</v>
      </c>
      <c r="T321" s="11">
        <f t="shared" ref="T321:T384" si="5">T320+D321</f>
        <v>0</v>
      </c>
    </row>
    <row r="322" spans="1:20" x14ac:dyDescent="0.2">
      <c r="A322" s="18"/>
      <c r="B322" s="85"/>
      <c r="C322" s="19"/>
      <c r="D322" s="31"/>
      <c r="E322" s="24"/>
      <c r="F322" s="16"/>
      <c r="G322" s="16"/>
      <c r="H322" s="16"/>
      <c r="I322" s="16"/>
      <c r="J322" s="20"/>
      <c r="K322" s="16"/>
      <c r="L322" s="16"/>
      <c r="M322" s="16"/>
      <c r="N322" s="16"/>
      <c r="O322" s="16" t="str">
        <f>IF(ISNA(VLOOKUP(C322,'Auction Summary'!$P$3:$R$600,2,FALSE)),"",VLOOKUP(C322,'Auction Summary'!$P$3:$R$600,2,FALSE))</f>
        <v/>
      </c>
      <c r="P322" s="16"/>
      <c r="Q322" s="95" t="e">
        <f>VLOOKUP(C322,'Member Details (HOF Only)'!$A$2:$U$219,4,FALSE)</f>
        <v>#N/A</v>
      </c>
      <c r="R322" s="13"/>
      <c r="S322" s="95" t="e">
        <f>VLOOKUP(C322,'Member Details (HOF Only)'!$A$2:$U$219,7,FALSE)</f>
        <v>#N/A</v>
      </c>
      <c r="T322" s="11">
        <f t="shared" si="5"/>
        <v>0</v>
      </c>
    </row>
    <row r="323" spans="1:20" x14ac:dyDescent="0.2">
      <c r="A323" s="18"/>
      <c r="B323" s="85"/>
      <c r="C323" s="19"/>
      <c r="D323" s="31"/>
      <c r="E323" s="24"/>
      <c r="F323" s="16"/>
      <c r="G323" s="16"/>
      <c r="H323" s="16"/>
      <c r="I323" s="16"/>
      <c r="J323" s="20"/>
      <c r="K323" s="16"/>
      <c r="L323" s="16"/>
      <c r="M323" s="16"/>
      <c r="N323" s="16"/>
      <c r="O323" s="16" t="str">
        <f>IF(ISNA(VLOOKUP(C323,'Auction Summary'!$P$3:$R$600,2,FALSE)),"",VLOOKUP(C323,'Auction Summary'!$P$3:$R$600,2,FALSE))</f>
        <v/>
      </c>
      <c r="P323" s="16"/>
      <c r="Q323" s="95" t="e">
        <f>VLOOKUP(C323,'Member Details (HOF Only)'!$A$2:$U$219,4,FALSE)</f>
        <v>#N/A</v>
      </c>
      <c r="R323" s="13"/>
      <c r="S323" s="95" t="e">
        <f>VLOOKUP(C323,'Member Details (HOF Only)'!$A$2:$U$219,7,FALSE)</f>
        <v>#N/A</v>
      </c>
      <c r="T323" s="11">
        <f t="shared" si="5"/>
        <v>0</v>
      </c>
    </row>
    <row r="324" spans="1:20" x14ac:dyDescent="0.2">
      <c r="A324" s="18"/>
      <c r="B324" s="85"/>
      <c r="C324" s="19"/>
      <c r="D324" s="31"/>
      <c r="E324" s="24"/>
      <c r="F324" s="16"/>
      <c r="G324" s="16"/>
      <c r="H324" s="16"/>
      <c r="I324" s="16"/>
      <c r="J324" s="20"/>
      <c r="K324" s="16"/>
      <c r="L324" s="16"/>
      <c r="M324" s="16"/>
      <c r="N324" s="16"/>
      <c r="O324" s="16" t="str">
        <f>IF(ISNA(VLOOKUP(C324,'Auction Summary'!$P$3:$R$600,2,FALSE)),"",VLOOKUP(C324,'Auction Summary'!$P$3:$R$600,2,FALSE))</f>
        <v/>
      </c>
      <c r="P324" s="16"/>
      <c r="Q324" s="95" t="e">
        <f>VLOOKUP(C324,'Member Details (HOF Only)'!$A$2:$U$219,4,FALSE)</f>
        <v>#N/A</v>
      </c>
      <c r="R324" s="13"/>
      <c r="S324" s="95" t="e">
        <f>VLOOKUP(C324,'Member Details (HOF Only)'!$A$2:$U$219,7,FALSE)</f>
        <v>#N/A</v>
      </c>
      <c r="T324" s="11">
        <f t="shared" si="5"/>
        <v>0</v>
      </c>
    </row>
    <row r="325" spans="1:20" x14ac:dyDescent="0.2">
      <c r="A325" s="18"/>
      <c r="B325" s="85"/>
      <c r="C325" s="19"/>
      <c r="D325" s="31"/>
      <c r="E325" s="24"/>
      <c r="F325" s="16"/>
      <c r="G325" s="16"/>
      <c r="H325" s="16"/>
      <c r="I325" s="16"/>
      <c r="J325" s="20"/>
      <c r="K325" s="16"/>
      <c r="L325" s="16"/>
      <c r="M325" s="16"/>
      <c r="N325" s="16"/>
      <c r="O325" s="16" t="str">
        <f>IF(ISNA(VLOOKUP(C325,'Auction Summary'!$P$3:$R$600,2,FALSE)),"",VLOOKUP(C325,'Auction Summary'!$P$3:$R$600,2,FALSE))</f>
        <v/>
      </c>
      <c r="P325" s="16"/>
      <c r="Q325" s="95" t="e">
        <f>VLOOKUP(C325,'Member Details (HOF Only)'!$A$2:$U$219,4,FALSE)</f>
        <v>#N/A</v>
      </c>
      <c r="R325" s="13"/>
      <c r="S325" s="95" t="e">
        <f>VLOOKUP(C325,'Member Details (HOF Only)'!$A$2:$U$219,7,FALSE)</f>
        <v>#N/A</v>
      </c>
      <c r="T325" s="11">
        <f t="shared" si="5"/>
        <v>0</v>
      </c>
    </row>
    <row r="326" spans="1:20" x14ac:dyDescent="0.2">
      <c r="A326" s="18"/>
      <c r="B326" s="85"/>
      <c r="C326" s="19"/>
      <c r="D326" s="31"/>
      <c r="E326" s="24"/>
      <c r="F326" s="16"/>
      <c r="G326" s="16"/>
      <c r="H326" s="16"/>
      <c r="I326" s="16"/>
      <c r="J326" s="20"/>
      <c r="K326" s="16"/>
      <c r="L326" s="16"/>
      <c r="M326" s="16"/>
      <c r="N326" s="16"/>
      <c r="O326" s="16" t="str">
        <f>IF(ISNA(VLOOKUP(C326,'Auction Summary'!$P$3:$R$600,2,FALSE)),"",VLOOKUP(C326,'Auction Summary'!$P$3:$R$600,2,FALSE))</f>
        <v/>
      </c>
      <c r="P326" s="16"/>
      <c r="Q326" s="95" t="e">
        <f>VLOOKUP(C326,'Member Details (HOF Only)'!$A$2:$U$219,4,FALSE)</f>
        <v>#N/A</v>
      </c>
      <c r="R326" s="13"/>
      <c r="S326" s="95" t="e">
        <f>VLOOKUP(C326,'Member Details (HOF Only)'!$A$2:$U$219,7,FALSE)</f>
        <v>#N/A</v>
      </c>
      <c r="T326" s="11">
        <f t="shared" si="5"/>
        <v>0</v>
      </c>
    </row>
    <row r="327" spans="1:20" x14ac:dyDescent="0.2">
      <c r="A327" s="18"/>
      <c r="B327" s="85"/>
      <c r="C327" s="19"/>
      <c r="D327" s="31"/>
      <c r="E327" s="24"/>
      <c r="F327" s="16"/>
      <c r="G327" s="16"/>
      <c r="H327" s="16"/>
      <c r="I327" s="16"/>
      <c r="J327" s="20"/>
      <c r="K327" s="16"/>
      <c r="L327" s="16"/>
      <c r="M327" s="16"/>
      <c r="N327" s="16"/>
      <c r="O327" s="16" t="str">
        <f>IF(ISNA(VLOOKUP(C327,'Auction Summary'!$P$3:$R$600,2,FALSE)),"",VLOOKUP(C327,'Auction Summary'!$P$3:$R$600,2,FALSE))</f>
        <v/>
      </c>
      <c r="P327" s="16"/>
      <c r="Q327" s="95" t="e">
        <f>VLOOKUP(C327,'Member Details (HOF Only)'!$A$2:$U$219,4,FALSE)</f>
        <v>#N/A</v>
      </c>
      <c r="R327" s="13"/>
      <c r="S327" s="95" t="e">
        <f>VLOOKUP(C327,'Member Details (HOF Only)'!$A$2:$U$219,7,FALSE)</f>
        <v>#N/A</v>
      </c>
      <c r="T327" s="11">
        <f t="shared" si="5"/>
        <v>0</v>
      </c>
    </row>
    <row r="328" spans="1:20" x14ac:dyDescent="0.2">
      <c r="A328" s="18"/>
      <c r="B328" s="85"/>
      <c r="C328" s="19"/>
      <c r="D328" s="31"/>
      <c r="E328" s="24"/>
      <c r="F328" s="16"/>
      <c r="G328" s="16"/>
      <c r="H328" s="16"/>
      <c r="I328" s="16"/>
      <c r="J328" s="20"/>
      <c r="K328" s="16"/>
      <c r="L328" s="16"/>
      <c r="M328" s="16"/>
      <c r="N328" s="16"/>
      <c r="O328" s="16" t="str">
        <f>IF(ISNA(VLOOKUP(C328,'Auction Summary'!$P$3:$R$600,2,FALSE)),"",VLOOKUP(C328,'Auction Summary'!$P$3:$R$600,2,FALSE))</f>
        <v/>
      </c>
      <c r="P328" s="16"/>
      <c r="Q328" s="95" t="e">
        <f>VLOOKUP(C328,'Member Details (HOF Only)'!$A$2:$U$219,4,FALSE)</f>
        <v>#N/A</v>
      </c>
      <c r="R328" s="13"/>
      <c r="S328" s="95" t="e">
        <f>VLOOKUP(C328,'Member Details (HOF Only)'!$A$2:$U$219,7,FALSE)</f>
        <v>#N/A</v>
      </c>
      <c r="T328" s="11">
        <f t="shared" si="5"/>
        <v>0</v>
      </c>
    </row>
    <row r="329" spans="1:20" x14ac:dyDescent="0.2">
      <c r="A329" s="18"/>
      <c r="B329" s="85"/>
      <c r="C329" s="19"/>
      <c r="D329" s="31"/>
      <c r="E329" s="24"/>
      <c r="F329" s="16"/>
      <c r="G329" s="16"/>
      <c r="H329" s="16"/>
      <c r="I329" s="16"/>
      <c r="J329" s="20"/>
      <c r="K329" s="16"/>
      <c r="L329" s="16"/>
      <c r="M329" s="16"/>
      <c r="N329" s="16"/>
      <c r="O329" s="16" t="str">
        <f>IF(ISNA(VLOOKUP(C329,'Auction Summary'!$P$3:$R$600,2,FALSE)),"",VLOOKUP(C329,'Auction Summary'!$P$3:$R$600,2,FALSE))</f>
        <v/>
      </c>
      <c r="P329" s="16"/>
      <c r="Q329" s="95" t="e">
        <f>VLOOKUP(C329,'Member Details (HOF Only)'!$A$2:$U$219,4,FALSE)</f>
        <v>#N/A</v>
      </c>
      <c r="R329" s="13"/>
      <c r="S329" s="95" t="e">
        <f>VLOOKUP(C329,'Member Details (HOF Only)'!$A$2:$U$219,7,FALSE)</f>
        <v>#N/A</v>
      </c>
      <c r="T329" s="11">
        <f t="shared" si="5"/>
        <v>0</v>
      </c>
    </row>
    <row r="330" spans="1:20" x14ac:dyDescent="0.2">
      <c r="A330" s="18"/>
      <c r="B330" s="85"/>
      <c r="C330" s="19"/>
      <c r="D330" s="31"/>
      <c r="E330" s="24"/>
      <c r="F330" s="16"/>
      <c r="G330" s="16"/>
      <c r="H330" s="16"/>
      <c r="I330" s="16"/>
      <c r="J330" s="20"/>
      <c r="K330" s="16"/>
      <c r="L330" s="16"/>
      <c r="M330" s="16"/>
      <c r="N330" s="16"/>
      <c r="O330" s="16" t="str">
        <f>IF(ISNA(VLOOKUP(C330,'Auction Summary'!$P$3:$R$600,2,FALSE)),"",VLOOKUP(C330,'Auction Summary'!$P$3:$R$600,2,FALSE))</f>
        <v/>
      </c>
      <c r="P330" s="16"/>
      <c r="Q330" s="95" t="e">
        <f>VLOOKUP(C330,'Member Details (HOF Only)'!$A$2:$U$219,4,FALSE)</f>
        <v>#N/A</v>
      </c>
      <c r="R330" s="13"/>
      <c r="S330" s="95" t="e">
        <f>VLOOKUP(C330,'Member Details (HOF Only)'!$A$2:$U$219,7,FALSE)</f>
        <v>#N/A</v>
      </c>
      <c r="T330" s="11">
        <f t="shared" si="5"/>
        <v>0</v>
      </c>
    </row>
    <row r="331" spans="1:20" x14ac:dyDescent="0.2">
      <c r="A331" s="18"/>
      <c r="B331" s="85"/>
      <c r="C331" s="19"/>
      <c r="D331" s="31"/>
      <c r="E331" s="24"/>
      <c r="F331" s="16"/>
      <c r="G331" s="16"/>
      <c r="H331" s="16"/>
      <c r="I331" s="16"/>
      <c r="J331" s="20"/>
      <c r="K331" s="16"/>
      <c r="L331" s="16"/>
      <c r="M331" s="16"/>
      <c r="N331" s="16"/>
      <c r="O331" s="16" t="str">
        <f>IF(ISNA(VLOOKUP(C331,'Auction Summary'!$P$3:$R$600,2,FALSE)),"",VLOOKUP(C331,'Auction Summary'!$P$3:$R$600,2,FALSE))</f>
        <v/>
      </c>
      <c r="P331" s="16"/>
      <c r="Q331" s="95" t="e">
        <f>VLOOKUP(C331,'Member Details (HOF Only)'!$A$2:$U$219,4,FALSE)</f>
        <v>#N/A</v>
      </c>
      <c r="R331" s="13"/>
      <c r="S331" s="95" t="e">
        <f>VLOOKUP(C331,'Member Details (HOF Only)'!$A$2:$U$219,7,FALSE)</f>
        <v>#N/A</v>
      </c>
      <c r="T331" s="11">
        <f t="shared" si="5"/>
        <v>0</v>
      </c>
    </row>
    <row r="332" spans="1:20" x14ac:dyDescent="0.2">
      <c r="A332" s="18"/>
      <c r="B332" s="85"/>
      <c r="C332" s="19"/>
      <c r="D332" s="31"/>
      <c r="E332" s="24"/>
      <c r="F332" s="16"/>
      <c r="G332" s="16"/>
      <c r="H332" s="16"/>
      <c r="I332" s="16"/>
      <c r="J332" s="20"/>
      <c r="K332" s="16"/>
      <c r="L332" s="16"/>
      <c r="M332" s="16"/>
      <c r="N332" s="16"/>
      <c r="O332" s="16" t="str">
        <f>IF(ISNA(VLOOKUP(C332,'Auction Summary'!$P$3:$R$600,2,FALSE)),"",VLOOKUP(C332,'Auction Summary'!$P$3:$R$600,2,FALSE))</f>
        <v/>
      </c>
      <c r="P332" s="16"/>
      <c r="Q332" s="95" t="e">
        <f>VLOOKUP(C332,'Member Details (HOF Only)'!$A$2:$U$219,4,FALSE)</f>
        <v>#N/A</v>
      </c>
      <c r="R332" s="13"/>
      <c r="S332" s="95" t="e">
        <f>VLOOKUP(C332,'Member Details (HOF Only)'!$A$2:$U$219,7,FALSE)</f>
        <v>#N/A</v>
      </c>
      <c r="T332" s="11">
        <f t="shared" si="5"/>
        <v>0</v>
      </c>
    </row>
    <row r="333" spans="1:20" x14ac:dyDescent="0.2">
      <c r="A333" s="18"/>
      <c r="B333" s="85"/>
      <c r="C333" s="19"/>
      <c r="D333" s="31"/>
      <c r="E333" s="24"/>
      <c r="F333" s="16"/>
      <c r="G333" s="16"/>
      <c r="H333" s="16"/>
      <c r="I333" s="16"/>
      <c r="J333" s="20"/>
      <c r="K333" s="16"/>
      <c r="L333" s="16"/>
      <c r="M333" s="16"/>
      <c r="N333" s="16"/>
      <c r="O333" s="16" t="str">
        <f>IF(ISNA(VLOOKUP(C333,'Auction Summary'!$P$3:$R$600,2,FALSE)),"",VLOOKUP(C333,'Auction Summary'!$P$3:$R$600,2,FALSE))</f>
        <v/>
      </c>
      <c r="P333" s="16"/>
      <c r="Q333" s="95" t="e">
        <f>VLOOKUP(C333,'Member Details (HOF Only)'!$A$2:$U$219,4,FALSE)</f>
        <v>#N/A</v>
      </c>
      <c r="R333" s="13"/>
      <c r="S333" s="95" t="e">
        <f>VLOOKUP(C333,'Member Details (HOF Only)'!$A$2:$U$219,7,FALSE)</f>
        <v>#N/A</v>
      </c>
      <c r="T333" s="11">
        <f t="shared" si="5"/>
        <v>0</v>
      </c>
    </row>
    <row r="334" spans="1:20" x14ac:dyDescent="0.2">
      <c r="A334" s="18"/>
      <c r="B334" s="85"/>
      <c r="C334" s="19"/>
      <c r="D334" s="31"/>
      <c r="E334" s="24"/>
      <c r="F334" s="16"/>
      <c r="G334" s="16"/>
      <c r="H334" s="16"/>
      <c r="I334" s="16"/>
      <c r="J334" s="20"/>
      <c r="K334" s="16"/>
      <c r="L334" s="16"/>
      <c r="M334" s="16"/>
      <c r="N334" s="16"/>
      <c r="O334" s="16" t="str">
        <f>IF(ISNA(VLOOKUP(C334,'Auction Summary'!$P$3:$R$600,2,FALSE)),"",VLOOKUP(C334,'Auction Summary'!$P$3:$R$600,2,FALSE))</f>
        <v/>
      </c>
      <c r="P334" s="16"/>
      <c r="Q334" s="95" t="e">
        <f>VLOOKUP(C334,'Member Details (HOF Only)'!$A$2:$U$219,4,FALSE)</f>
        <v>#N/A</v>
      </c>
      <c r="R334" s="13"/>
      <c r="S334" s="95" t="e">
        <f>VLOOKUP(C334,'Member Details (HOF Only)'!$A$2:$U$219,7,FALSE)</f>
        <v>#N/A</v>
      </c>
      <c r="T334" s="11">
        <f t="shared" si="5"/>
        <v>0</v>
      </c>
    </row>
    <row r="335" spans="1:20" x14ac:dyDescent="0.2">
      <c r="A335" s="18"/>
      <c r="B335" s="85"/>
      <c r="C335" s="19"/>
      <c r="D335" s="31"/>
      <c r="E335" s="24"/>
      <c r="F335" s="16"/>
      <c r="G335" s="16"/>
      <c r="H335" s="16"/>
      <c r="I335" s="16"/>
      <c r="J335" s="20"/>
      <c r="K335" s="16"/>
      <c r="L335" s="16"/>
      <c r="M335" s="16"/>
      <c r="N335" s="16"/>
      <c r="O335" s="16" t="str">
        <f>IF(ISNA(VLOOKUP(C335,'Auction Summary'!$P$3:$R$600,2,FALSE)),"",VLOOKUP(C335,'Auction Summary'!$P$3:$R$600,2,FALSE))</f>
        <v/>
      </c>
      <c r="P335" s="16"/>
      <c r="Q335" s="95" t="e">
        <f>VLOOKUP(C335,'Member Details (HOF Only)'!$A$2:$U$219,4,FALSE)</f>
        <v>#N/A</v>
      </c>
      <c r="R335" s="13"/>
      <c r="S335" s="95" t="e">
        <f>VLOOKUP(C335,'Member Details (HOF Only)'!$A$2:$U$219,7,FALSE)</f>
        <v>#N/A</v>
      </c>
      <c r="T335" s="11">
        <f t="shared" si="5"/>
        <v>0</v>
      </c>
    </row>
    <row r="336" spans="1:20" x14ac:dyDescent="0.2">
      <c r="A336" s="18"/>
      <c r="B336" s="85"/>
      <c r="C336" s="19"/>
      <c r="D336" s="31"/>
      <c r="E336" s="24"/>
      <c r="F336" s="16"/>
      <c r="G336" s="16"/>
      <c r="H336" s="16"/>
      <c r="I336" s="16"/>
      <c r="J336" s="20"/>
      <c r="K336" s="16"/>
      <c r="L336" s="16"/>
      <c r="M336" s="16"/>
      <c r="N336" s="16"/>
      <c r="O336" s="16" t="str">
        <f>IF(ISNA(VLOOKUP(C336,'Auction Summary'!$P$3:$R$600,2,FALSE)),"",VLOOKUP(C336,'Auction Summary'!$P$3:$R$600,2,FALSE))</f>
        <v/>
      </c>
      <c r="P336" s="16"/>
      <c r="Q336" s="95" t="e">
        <f>VLOOKUP(C336,'Member Details (HOF Only)'!$A$2:$U$219,4,FALSE)</f>
        <v>#N/A</v>
      </c>
      <c r="R336" s="13"/>
      <c r="S336" s="95" t="e">
        <f>VLOOKUP(C336,'Member Details (HOF Only)'!$A$2:$U$219,7,FALSE)</f>
        <v>#N/A</v>
      </c>
      <c r="T336" s="11">
        <f t="shared" si="5"/>
        <v>0</v>
      </c>
    </row>
    <row r="337" spans="1:20" x14ac:dyDescent="0.2">
      <c r="A337" s="18"/>
      <c r="B337" s="85"/>
      <c r="C337" s="19"/>
      <c r="D337" s="31"/>
      <c r="E337" s="24"/>
      <c r="F337" s="16"/>
      <c r="G337" s="16"/>
      <c r="H337" s="16"/>
      <c r="I337" s="16"/>
      <c r="J337" s="20"/>
      <c r="K337" s="16"/>
      <c r="L337" s="16"/>
      <c r="M337" s="16"/>
      <c r="N337" s="16"/>
      <c r="O337" s="16" t="str">
        <f>IF(ISNA(VLOOKUP(C337,'Auction Summary'!$P$3:$R$600,2,FALSE)),"",VLOOKUP(C337,'Auction Summary'!$P$3:$R$600,2,FALSE))</f>
        <v/>
      </c>
      <c r="P337" s="16"/>
      <c r="Q337" s="95" t="e">
        <f>VLOOKUP(C337,'Member Details (HOF Only)'!$A$2:$U$219,4,FALSE)</f>
        <v>#N/A</v>
      </c>
      <c r="R337" s="13"/>
      <c r="S337" s="95" t="e">
        <f>VLOOKUP(C337,'Member Details (HOF Only)'!$A$2:$U$219,7,FALSE)</f>
        <v>#N/A</v>
      </c>
      <c r="T337" s="11">
        <f t="shared" si="5"/>
        <v>0</v>
      </c>
    </row>
    <row r="338" spans="1:20" x14ac:dyDescent="0.2">
      <c r="A338" s="18"/>
      <c r="B338" s="85"/>
      <c r="C338" s="19"/>
      <c r="D338" s="31"/>
      <c r="E338" s="24"/>
      <c r="F338" s="16"/>
      <c r="G338" s="16"/>
      <c r="H338" s="16"/>
      <c r="I338" s="16"/>
      <c r="J338" s="20"/>
      <c r="K338" s="16"/>
      <c r="L338" s="16"/>
      <c r="M338" s="16"/>
      <c r="N338" s="16"/>
      <c r="O338" s="16" t="str">
        <f>IF(ISNA(VLOOKUP(C338,'Auction Summary'!$P$3:$R$600,2,FALSE)),"",VLOOKUP(C338,'Auction Summary'!$P$3:$R$600,2,FALSE))</f>
        <v/>
      </c>
      <c r="P338" s="16"/>
      <c r="Q338" s="95" t="e">
        <f>VLOOKUP(C338,'Member Details (HOF Only)'!$A$2:$U$219,4,FALSE)</f>
        <v>#N/A</v>
      </c>
      <c r="R338" s="13"/>
      <c r="S338" s="95" t="e">
        <f>VLOOKUP(C338,'Member Details (HOF Only)'!$A$2:$U$219,7,FALSE)</f>
        <v>#N/A</v>
      </c>
      <c r="T338" s="11">
        <f t="shared" si="5"/>
        <v>0</v>
      </c>
    </row>
    <row r="339" spans="1:20" x14ac:dyDescent="0.2">
      <c r="A339" s="18"/>
      <c r="B339" s="85"/>
      <c r="C339" s="19"/>
      <c r="D339" s="31"/>
      <c r="E339" s="24"/>
      <c r="F339" s="16"/>
      <c r="G339" s="16"/>
      <c r="H339" s="16"/>
      <c r="I339" s="16"/>
      <c r="J339" s="20"/>
      <c r="K339" s="16"/>
      <c r="L339" s="16"/>
      <c r="M339" s="16"/>
      <c r="N339" s="16"/>
      <c r="O339" s="16" t="str">
        <f>IF(ISNA(VLOOKUP(C339,'Auction Summary'!$P$3:$R$600,2,FALSE)),"",VLOOKUP(C339,'Auction Summary'!$P$3:$R$600,2,FALSE))</f>
        <v/>
      </c>
      <c r="P339" s="16"/>
      <c r="Q339" s="95" t="e">
        <f>VLOOKUP(C339,'Member Details (HOF Only)'!$A$2:$U$219,4,FALSE)</f>
        <v>#N/A</v>
      </c>
      <c r="R339" s="13"/>
      <c r="S339" s="95" t="e">
        <f>VLOOKUP(C339,'Member Details (HOF Only)'!$A$2:$U$219,7,FALSE)</f>
        <v>#N/A</v>
      </c>
      <c r="T339" s="11">
        <f t="shared" si="5"/>
        <v>0</v>
      </c>
    </row>
    <row r="340" spans="1:20" x14ac:dyDescent="0.2">
      <c r="A340" s="18"/>
      <c r="B340" s="85"/>
      <c r="C340" s="19"/>
      <c r="D340" s="31"/>
      <c r="E340" s="24"/>
      <c r="F340" s="16"/>
      <c r="G340" s="16"/>
      <c r="H340" s="16"/>
      <c r="I340" s="16"/>
      <c r="J340" s="20"/>
      <c r="K340" s="16"/>
      <c r="L340" s="16"/>
      <c r="M340" s="16"/>
      <c r="N340" s="16"/>
      <c r="O340" s="16" t="str">
        <f>IF(ISNA(VLOOKUP(C340,'Auction Summary'!$P$3:$R$600,2,FALSE)),"",VLOOKUP(C340,'Auction Summary'!$P$3:$R$600,2,FALSE))</f>
        <v/>
      </c>
      <c r="P340" s="16"/>
      <c r="Q340" s="95" t="e">
        <f>VLOOKUP(C340,'Member Details (HOF Only)'!$A$2:$U$219,4,FALSE)</f>
        <v>#N/A</v>
      </c>
      <c r="R340" s="13"/>
      <c r="S340" s="95" t="e">
        <f>VLOOKUP(C340,'Member Details (HOF Only)'!$A$2:$U$219,7,FALSE)</f>
        <v>#N/A</v>
      </c>
      <c r="T340" s="11">
        <f t="shared" si="5"/>
        <v>0</v>
      </c>
    </row>
    <row r="341" spans="1:20" x14ac:dyDescent="0.2">
      <c r="A341" s="18"/>
      <c r="B341" s="85"/>
      <c r="C341" s="19"/>
      <c r="D341" s="31"/>
      <c r="E341" s="24"/>
      <c r="F341" s="16"/>
      <c r="G341" s="16"/>
      <c r="H341" s="16"/>
      <c r="I341" s="16"/>
      <c r="J341" s="20"/>
      <c r="K341" s="16"/>
      <c r="L341" s="16"/>
      <c r="M341" s="16"/>
      <c r="N341" s="16"/>
      <c r="O341" s="16" t="str">
        <f>IF(ISNA(VLOOKUP(C341,'Auction Summary'!$P$3:$R$600,2,FALSE)),"",VLOOKUP(C341,'Auction Summary'!$P$3:$R$600,2,FALSE))</f>
        <v/>
      </c>
      <c r="P341" s="16"/>
      <c r="Q341" s="95" t="e">
        <f>VLOOKUP(C341,'Member Details (HOF Only)'!$A$2:$U$219,4,FALSE)</f>
        <v>#N/A</v>
      </c>
      <c r="R341" s="13"/>
      <c r="S341" s="95" t="e">
        <f>VLOOKUP(C341,'Member Details (HOF Only)'!$A$2:$U$219,7,FALSE)</f>
        <v>#N/A</v>
      </c>
      <c r="T341" s="11">
        <f t="shared" si="5"/>
        <v>0</v>
      </c>
    </row>
    <row r="342" spans="1:20" x14ac:dyDescent="0.2">
      <c r="A342" s="18"/>
      <c r="B342" s="85"/>
      <c r="C342" s="19"/>
      <c r="D342" s="31"/>
      <c r="E342" s="24"/>
      <c r="F342" s="16"/>
      <c r="G342" s="16"/>
      <c r="H342" s="16"/>
      <c r="I342" s="16"/>
      <c r="J342" s="20"/>
      <c r="K342" s="16"/>
      <c r="L342" s="16"/>
      <c r="M342" s="16"/>
      <c r="N342" s="16"/>
      <c r="O342" s="16" t="str">
        <f>IF(ISNA(VLOOKUP(C342,'Auction Summary'!$P$3:$R$600,2,FALSE)),"",VLOOKUP(C342,'Auction Summary'!$P$3:$R$600,2,FALSE))</f>
        <v/>
      </c>
      <c r="P342" s="16"/>
      <c r="Q342" s="95" t="e">
        <f>VLOOKUP(C342,'Member Details (HOF Only)'!$A$2:$U$219,4,FALSE)</f>
        <v>#N/A</v>
      </c>
      <c r="R342" s="13"/>
      <c r="S342" s="95" t="e">
        <f>VLOOKUP(C342,'Member Details (HOF Only)'!$A$2:$U$219,7,FALSE)</f>
        <v>#N/A</v>
      </c>
      <c r="T342" s="11">
        <f t="shared" si="5"/>
        <v>0</v>
      </c>
    </row>
    <row r="343" spans="1:20" x14ac:dyDescent="0.2">
      <c r="A343" s="18"/>
      <c r="B343" s="85"/>
      <c r="C343" s="19"/>
      <c r="D343" s="31"/>
      <c r="E343" s="24"/>
      <c r="F343" s="16"/>
      <c r="G343" s="16"/>
      <c r="H343" s="16"/>
      <c r="I343" s="16"/>
      <c r="J343" s="20"/>
      <c r="K343" s="16"/>
      <c r="L343" s="16"/>
      <c r="M343" s="16"/>
      <c r="N343" s="16"/>
      <c r="O343" s="16" t="str">
        <f>IF(ISNA(VLOOKUP(C343,'Auction Summary'!$P$3:$R$600,2,FALSE)),"",VLOOKUP(C343,'Auction Summary'!$P$3:$R$600,2,FALSE))</f>
        <v/>
      </c>
      <c r="P343" s="16"/>
      <c r="Q343" s="95" t="e">
        <f>VLOOKUP(C343,'Member Details (HOF Only)'!$A$2:$U$219,4,FALSE)</f>
        <v>#N/A</v>
      </c>
      <c r="R343" s="13"/>
      <c r="S343" s="95" t="e">
        <f>VLOOKUP(C343,'Member Details (HOF Only)'!$A$2:$U$219,7,FALSE)</f>
        <v>#N/A</v>
      </c>
      <c r="T343" s="11">
        <f t="shared" si="5"/>
        <v>0</v>
      </c>
    </row>
    <row r="344" spans="1:20" x14ac:dyDescent="0.2">
      <c r="A344" s="18"/>
      <c r="B344" s="85"/>
      <c r="C344" s="19"/>
      <c r="D344" s="31"/>
      <c r="E344" s="24"/>
      <c r="F344" s="16"/>
      <c r="G344" s="16"/>
      <c r="H344" s="16"/>
      <c r="I344" s="16"/>
      <c r="J344" s="20"/>
      <c r="K344" s="16"/>
      <c r="L344" s="16"/>
      <c r="M344" s="16"/>
      <c r="N344" s="16"/>
      <c r="O344" s="16" t="str">
        <f>IF(ISNA(VLOOKUP(C344,'Auction Summary'!$P$3:$R$600,2,FALSE)),"",VLOOKUP(C344,'Auction Summary'!$P$3:$R$600,2,FALSE))</f>
        <v/>
      </c>
      <c r="P344" s="16"/>
      <c r="Q344" s="95" t="e">
        <f>VLOOKUP(C344,'Member Details (HOF Only)'!$A$2:$U$219,4,FALSE)</f>
        <v>#N/A</v>
      </c>
      <c r="R344" s="13"/>
      <c r="S344" s="95" t="e">
        <f>VLOOKUP(C344,'Member Details (HOF Only)'!$A$2:$U$219,7,FALSE)</f>
        <v>#N/A</v>
      </c>
      <c r="T344" s="11">
        <f t="shared" si="5"/>
        <v>0</v>
      </c>
    </row>
    <row r="345" spans="1:20" x14ac:dyDescent="0.2">
      <c r="A345" s="18"/>
      <c r="B345" s="85"/>
      <c r="C345" s="19"/>
      <c r="D345" s="31"/>
      <c r="E345" s="24"/>
      <c r="F345" s="16"/>
      <c r="G345" s="16"/>
      <c r="H345" s="16"/>
      <c r="I345" s="16"/>
      <c r="J345" s="20"/>
      <c r="K345" s="16"/>
      <c r="L345" s="16"/>
      <c r="M345" s="16"/>
      <c r="N345" s="16"/>
      <c r="O345" s="16" t="str">
        <f>IF(ISNA(VLOOKUP(C345,'Auction Summary'!$P$3:$R$600,2,FALSE)),"",VLOOKUP(C345,'Auction Summary'!$P$3:$R$600,2,FALSE))</f>
        <v/>
      </c>
      <c r="P345" s="16"/>
      <c r="Q345" s="95" t="e">
        <f>VLOOKUP(C345,'Member Details (HOF Only)'!$A$2:$U$219,4,FALSE)</f>
        <v>#N/A</v>
      </c>
      <c r="R345" s="13"/>
      <c r="S345" s="95" t="e">
        <f>VLOOKUP(C345,'Member Details (HOF Only)'!$A$2:$U$219,7,FALSE)</f>
        <v>#N/A</v>
      </c>
      <c r="T345" s="11">
        <f t="shared" si="5"/>
        <v>0</v>
      </c>
    </row>
    <row r="346" spans="1:20" x14ac:dyDescent="0.2">
      <c r="A346" s="18"/>
      <c r="B346" s="85"/>
      <c r="C346" s="19"/>
      <c r="D346" s="31"/>
      <c r="E346" s="24"/>
      <c r="F346" s="16"/>
      <c r="G346" s="16"/>
      <c r="H346" s="16"/>
      <c r="I346" s="16"/>
      <c r="J346" s="20"/>
      <c r="K346" s="16"/>
      <c r="L346" s="16"/>
      <c r="M346" s="16"/>
      <c r="N346" s="16"/>
      <c r="O346" s="16" t="str">
        <f>IF(ISNA(VLOOKUP(C346,'Auction Summary'!$P$3:$R$600,2,FALSE)),"",VLOOKUP(C346,'Auction Summary'!$P$3:$R$600,2,FALSE))</f>
        <v/>
      </c>
      <c r="P346" s="16"/>
      <c r="Q346" s="95" t="e">
        <f>VLOOKUP(C346,'Member Details (HOF Only)'!$A$2:$U$219,4,FALSE)</f>
        <v>#N/A</v>
      </c>
      <c r="R346" s="13"/>
      <c r="S346" s="95" t="e">
        <f>VLOOKUP(C346,'Member Details (HOF Only)'!$A$2:$U$219,7,FALSE)</f>
        <v>#N/A</v>
      </c>
      <c r="T346" s="11">
        <f t="shared" si="5"/>
        <v>0</v>
      </c>
    </row>
    <row r="347" spans="1:20" x14ac:dyDescent="0.2">
      <c r="A347" s="18"/>
      <c r="B347" s="85"/>
      <c r="C347" s="19"/>
      <c r="D347" s="31"/>
      <c r="E347" s="24"/>
      <c r="F347" s="16"/>
      <c r="G347" s="16"/>
      <c r="H347" s="16"/>
      <c r="I347" s="16"/>
      <c r="J347" s="20"/>
      <c r="K347" s="16"/>
      <c r="L347" s="16"/>
      <c r="M347" s="16"/>
      <c r="N347" s="16"/>
      <c r="O347" s="16" t="str">
        <f>IF(ISNA(VLOOKUP(C347,'Auction Summary'!$P$3:$R$600,2,FALSE)),"",VLOOKUP(C347,'Auction Summary'!$P$3:$R$600,2,FALSE))</f>
        <v/>
      </c>
      <c r="P347" s="16"/>
      <c r="Q347" s="95" t="e">
        <f>VLOOKUP(C347,'Member Details (HOF Only)'!$A$2:$U$219,4,FALSE)</f>
        <v>#N/A</v>
      </c>
      <c r="R347" s="13"/>
      <c r="S347" s="95" t="e">
        <f>VLOOKUP(C347,'Member Details (HOF Only)'!$A$2:$U$219,7,FALSE)</f>
        <v>#N/A</v>
      </c>
      <c r="T347" s="11">
        <f t="shared" si="5"/>
        <v>0</v>
      </c>
    </row>
    <row r="348" spans="1:20" x14ac:dyDescent="0.2">
      <c r="A348" s="18"/>
      <c r="B348" s="85"/>
      <c r="C348" s="19"/>
      <c r="D348" s="31"/>
      <c r="E348" s="24"/>
      <c r="F348" s="16"/>
      <c r="G348" s="16"/>
      <c r="H348" s="16"/>
      <c r="I348" s="16"/>
      <c r="J348" s="20"/>
      <c r="K348" s="16"/>
      <c r="L348" s="16"/>
      <c r="M348" s="16"/>
      <c r="N348" s="16"/>
      <c r="O348" s="16" t="str">
        <f>IF(ISNA(VLOOKUP(C348,'Auction Summary'!$P$3:$R$600,2,FALSE)),"",VLOOKUP(C348,'Auction Summary'!$P$3:$R$600,2,FALSE))</f>
        <v/>
      </c>
      <c r="P348" s="16"/>
      <c r="Q348" s="95" t="e">
        <f>VLOOKUP(C348,'Member Details (HOF Only)'!$A$2:$U$219,4,FALSE)</f>
        <v>#N/A</v>
      </c>
      <c r="R348" s="13"/>
      <c r="S348" s="95" t="e">
        <f>VLOOKUP(C348,'Member Details (HOF Only)'!$A$2:$U$219,7,FALSE)</f>
        <v>#N/A</v>
      </c>
      <c r="T348" s="11">
        <f t="shared" si="5"/>
        <v>0</v>
      </c>
    </row>
    <row r="349" spans="1:20" x14ac:dyDescent="0.2">
      <c r="A349" s="18"/>
      <c r="B349" s="85"/>
      <c r="C349" s="19"/>
      <c r="D349" s="31"/>
      <c r="E349" s="24"/>
      <c r="F349" s="16"/>
      <c r="G349" s="16"/>
      <c r="H349" s="16"/>
      <c r="I349" s="16"/>
      <c r="J349" s="20"/>
      <c r="K349" s="16"/>
      <c r="L349" s="16"/>
      <c r="M349" s="16"/>
      <c r="N349" s="16"/>
      <c r="O349" s="16" t="str">
        <f>IF(ISNA(VLOOKUP(C349,'Auction Summary'!$P$3:$R$600,2,FALSE)),"",VLOOKUP(C349,'Auction Summary'!$P$3:$R$600,2,FALSE))</f>
        <v/>
      </c>
      <c r="P349" s="16"/>
      <c r="Q349" s="95" t="e">
        <f>VLOOKUP(C349,'Member Details (HOF Only)'!$A$2:$U$219,4,FALSE)</f>
        <v>#N/A</v>
      </c>
      <c r="R349" s="13"/>
      <c r="S349" s="95" t="e">
        <f>VLOOKUP(C349,'Member Details (HOF Only)'!$A$2:$U$219,7,FALSE)</f>
        <v>#N/A</v>
      </c>
      <c r="T349" s="11">
        <f t="shared" si="5"/>
        <v>0</v>
      </c>
    </row>
    <row r="350" spans="1:20" x14ac:dyDescent="0.2">
      <c r="A350" s="18"/>
      <c r="B350" s="85"/>
      <c r="C350" s="19"/>
      <c r="D350" s="31"/>
      <c r="E350" s="24"/>
      <c r="F350" s="16"/>
      <c r="G350" s="16"/>
      <c r="H350" s="16"/>
      <c r="I350" s="16"/>
      <c r="J350" s="20"/>
      <c r="K350" s="16"/>
      <c r="L350" s="16"/>
      <c r="M350" s="16"/>
      <c r="N350" s="16"/>
      <c r="O350" s="16" t="str">
        <f>IF(ISNA(VLOOKUP(C350,'Auction Summary'!$P$3:$R$600,2,FALSE)),"",VLOOKUP(C350,'Auction Summary'!$P$3:$R$600,2,FALSE))</f>
        <v/>
      </c>
      <c r="P350" s="16"/>
      <c r="Q350" s="95" t="e">
        <f>VLOOKUP(C350,'Member Details (HOF Only)'!$A$2:$U$219,4,FALSE)</f>
        <v>#N/A</v>
      </c>
      <c r="R350" s="13"/>
      <c r="S350" s="95" t="e">
        <f>VLOOKUP(C350,'Member Details (HOF Only)'!$A$2:$U$219,7,FALSE)</f>
        <v>#N/A</v>
      </c>
      <c r="T350" s="11">
        <f t="shared" si="5"/>
        <v>0</v>
      </c>
    </row>
    <row r="351" spans="1:20" x14ac:dyDescent="0.2">
      <c r="A351" s="18"/>
      <c r="B351" s="85"/>
      <c r="C351" s="19"/>
      <c r="D351" s="31"/>
      <c r="E351" s="24"/>
      <c r="F351" s="16"/>
      <c r="G351" s="16"/>
      <c r="H351" s="16"/>
      <c r="I351" s="16"/>
      <c r="J351" s="20"/>
      <c r="K351" s="16"/>
      <c r="L351" s="16"/>
      <c r="M351" s="16"/>
      <c r="N351" s="16"/>
      <c r="O351" s="16" t="str">
        <f>IF(ISNA(VLOOKUP(C351,'Auction Summary'!$P$3:$R$600,2,FALSE)),"",VLOOKUP(C351,'Auction Summary'!$P$3:$R$600,2,FALSE))</f>
        <v/>
      </c>
      <c r="P351" s="16"/>
      <c r="Q351" s="95" t="e">
        <f>VLOOKUP(C351,'Member Details (HOF Only)'!$A$2:$U$219,4,FALSE)</f>
        <v>#N/A</v>
      </c>
      <c r="R351" s="13"/>
      <c r="S351" s="95" t="e">
        <f>VLOOKUP(C351,'Member Details (HOF Only)'!$A$2:$U$219,7,FALSE)</f>
        <v>#N/A</v>
      </c>
      <c r="T351" s="11">
        <f t="shared" si="5"/>
        <v>0</v>
      </c>
    </row>
    <row r="352" spans="1:20" x14ac:dyDescent="0.2">
      <c r="A352" s="18"/>
      <c r="B352" s="85"/>
      <c r="C352" s="19"/>
      <c r="D352" s="31"/>
      <c r="E352" s="24"/>
      <c r="F352" s="16"/>
      <c r="G352" s="16"/>
      <c r="H352" s="16"/>
      <c r="I352" s="16"/>
      <c r="J352" s="20"/>
      <c r="K352" s="16"/>
      <c r="L352" s="16"/>
      <c r="M352" s="16"/>
      <c r="N352" s="16"/>
      <c r="O352" s="16" t="str">
        <f>IF(ISNA(VLOOKUP(C352,'Auction Summary'!$P$3:$R$600,2,FALSE)),"",VLOOKUP(C352,'Auction Summary'!$P$3:$R$600,2,FALSE))</f>
        <v/>
      </c>
      <c r="P352" s="16"/>
      <c r="Q352" s="95" t="e">
        <f>VLOOKUP(C352,'Member Details (HOF Only)'!$A$2:$U$219,4,FALSE)</f>
        <v>#N/A</v>
      </c>
      <c r="R352" s="13"/>
      <c r="S352" s="95" t="e">
        <f>VLOOKUP(C352,'Member Details (HOF Only)'!$A$2:$U$219,7,FALSE)</f>
        <v>#N/A</v>
      </c>
      <c r="T352" s="11">
        <f t="shared" si="5"/>
        <v>0</v>
      </c>
    </row>
    <row r="353" spans="1:20" x14ac:dyDescent="0.2">
      <c r="A353" s="18"/>
      <c r="B353" s="85"/>
      <c r="C353" s="19"/>
      <c r="D353" s="31"/>
      <c r="E353" s="24"/>
      <c r="F353" s="16"/>
      <c r="G353" s="16"/>
      <c r="H353" s="16"/>
      <c r="I353" s="16"/>
      <c r="J353" s="20"/>
      <c r="K353" s="16"/>
      <c r="L353" s="16"/>
      <c r="M353" s="16"/>
      <c r="N353" s="16"/>
      <c r="O353" s="16" t="str">
        <f>IF(ISNA(VLOOKUP(C353,'Auction Summary'!$P$3:$R$600,2,FALSE)),"",VLOOKUP(C353,'Auction Summary'!$P$3:$R$600,2,FALSE))</f>
        <v/>
      </c>
      <c r="P353" s="16"/>
      <c r="Q353" s="95" t="e">
        <f>VLOOKUP(C353,'Member Details (HOF Only)'!$A$2:$U$219,4,FALSE)</f>
        <v>#N/A</v>
      </c>
      <c r="R353" s="13"/>
      <c r="S353" s="95" t="e">
        <f>VLOOKUP(C353,'Member Details (HOF Only)'!$A$2:$U$219,7,FALSE)</f>
        <v>#N/A</v>
      </c>
      <c r="T353" s="11">
        <f t="shared" si="5"/>
        <v>0</v>
      </c>
    </row>
    <row r="354" spans="1:20" x14ac:dyDescent="0.2">
      <c r="A354" s="18"/>
      <c r="B354" s="85"/>
      <c r="C354" s="19"/>
      <c r="D354" s="31"/>
      <c r="E354" s="24"/>
      <c r="F354" s="16"/>
      <c r="G354" s="16"/>
      <c r="H354" s="16"/>
      <c r="I354" s="16"/>
      <c r="J354" s="20"/>
      <c r="K354" s="16"/>
      <c r="L354" s="16"/>
      <c r="M354" s="16"/>
      <c r="N354" s="16"/>
      <c r="O354" s="16" t="str">
        <f>IF(ISNA(VLOOKUP(C354,'Auction Summary'!$P$3:$R$600,2,FALSE)),"",VLOOKUP(C354,'Auction Summary'!$P$3:$R$600,2,FALSE))</f>
        <v/>
      </c>
      <c r="P354" s="16"/>
      <c r="Q354" s="95" t="e">
        <f>VLOOKUP(C354,'Member Details (HOF Only)'!$A$2:$U$219,4,FALSE)</f>
        <v>#N/A</v>
      </c>
      <c r="R354" s="13"/>
      <c r="S354" s="95" t="e">
        <f>VLOOKUP(C354,'Member Details (HOF Only)'!$A$2:$U$219,7,FALSE)</f>
        <v>#N/A</v>
      </c>
      <c r="T354" s="11">
        <f t="shared" si="5"/>
        <v>0</v>
      </c>
    </row>
    <row r="355" spans="1:20" x14ac:dyDescent="0.2">
      <c r="A355" s="18"/>
      <c r="B355" s="85"/>
      <c r="C355" s="19"/>
      <c r="D355" s="31"/>
      <c r="E355" s="24"/>
      <c r="F355" s="16"/>
      <c r="G355" s="16"/>
      <c r="H355" s="16"/>
      <c r="I355" s="16"/>
      <c r="J355" s="20"/>
      <c r="K355" s="16"/>
      <c r="L355" s="16"/>
      <c r="M355" s="16"/>
      <c r="N355" s="16"/>
      <c r="O355" s="16" t="str">
        <f>IF(ISNA(VLOOKUP(C355,'Auction Summary'!$P$3:$R$600,2,FALSE)),"",VLOOKUP(C355,'Auction Summary'!$P$3:$R$600,2,FALSE))</f>
        <v/>
      </c>
      <c r="P355" s="16"/>
      <c r="Q355" s="95" t="e">
        <f>VLOOKUP(C355,'Member Details (HOF Only)'!$A$2:$U$219,4,FALSE)</f>
        <v>#N/A</v>
      </c>
      <c r="R355" s="13"/>
      <c r="S355" s="95" t="e">
        <f>VLOOKUP(C355,'Member Details (HOF Only)'!$A$2:$U$219,7,FALSE)</f>
        <v>#N/A</v>
      </c>
      <c r="T355" s="11">
        <f t="shared" si="5"/>
        <v>0</v>
      </c>
    </row>
    <row r="356" spans="1:20" x14ac:dyDescent="0.2">
      <c r="A356" s="18"/>
      <c r="B356" s="85"/>
      <c r="C356" s="19"/>
      <c r="D356" s="31"/>
      <c r="E356" s="24"/>
      <c r="F356" s="16"/>
      <c r="G356" s="16"/>
      <c r="H356" s="16"/>
      <c r="I356" s="16"/>
      <c r="J356" s="20"/>
      <c r="K356" s="16"/>
      <c r="L356" s="16"/>
      <c r="M356" s="16"/>
      <c r="N356" s="16"/>
      <c r="O356" s="16" t="str">
        <f>IF(ISNA(VLOOKUP(C356,'Auction Summary'!$P$3:$R$600,2,FALSE)),"",VLOOKUP(C356,'Auction Summary'!$P$3:$R$600,2,FALSE))</f>
        <v/>
      </c>
      <c r="P356" s="16"/>
      <c r="Q356" s="95" t="e">
        <f>VLOOKUP(C356,'Member Details (HOF Only)'!$A$2:$U$219,4,FALSE)</f>
        <v>#N/A</v>
      </c>
      <c r="R356" s="13"/>
      <c r="S356" s="95" t="e">
        <f>VLOOKUP(C356,'Member Details (HOF Only)'!$A$2:$U$219,7,FALSE)</f>
        <v>#N/A</v>
      </c>
      <c r="T356" s="11">
        <f t="shared" si="5"/>
        <v>0</v>
      </c>
    </row>
    <row r="357" spans="1:20" x14ac:dyDescent="0.2">
      <c r="A357" s="18"/>
      <c r="B357" s="85"/>
      <c r="C357" s="19"/>
      <c r="D357" s="31"/>
      <c r="E357" s="24"/>
      <c r="F357" s="16"/>
      <c r="G357" s="16"/>
      <c r="H357" s="16"/>
      <c r="I357" s="16"/>
      <c r="J357" s="20"/>
      <c r="K357" s="16"/>
      <c r="L357" s="16"/>
      <c r="M357" s="16"/>
      <c r="N357" s="16"/>
      <c r="O357" s="16" t="str">
        <f>IF(ISNA(VLOOKUP(C357,'Auction Summary'!$P$3:$R$600,2,FALSE)),"",VLOOKUP(C357,'Auction Summary'!$P$3:$R$600,2,FALSE))</f>
        <v/>
      </c>
      <c r="P357" s="16"/>
      <c r="Q357" s="95" t="e">
        <f>VLOOKUP(C357,'Member Details (HOF Only)'!$A$2:$U$219,4,FALSE)</f>
        <v>#N/A</v>
      </c>
      <c r="R357" s="13"/>
      <c r="S357" s="95" t="e">
        <f>VLOOKUP(C357,'Member Details (HOF Only)'!$A$2:$U$219,7,FALSE)</f>
        <v>#N/A</v>
      </c>
      <c r="T357" s="11">
        <f t="shared" si="5"/>
        <v>0</v>
      </c>
    </row>
    <row r="358" spans="1:20" x14ac:dyDescent="0.2">
      <c r="A358" s="18"/>
      <c r="B358" s="85"/>
      <c r="C358" s="19"/>
      <c r="D358" s="31"/>
      <c r="E358" s="24"/>
      <c r="F358" s="16"/>
      <c r="G358" s="16"/>
      <c r="H358" s="16"/>
      <c r="I358" s="16"/>
      <c r="J358" s="20"/>
      <c r="K358" s="16"/>
      <c r="L358" s="16"/>
      <c r="M358" s="16"/>
      <c r="N358" s="16"/>
      <c r="O358" s="16" t="str">
        <f>IF(ISNA(VLOOKUP(C358,'Auction Summary'!$P$3:$R$600,2,FALSE)),"",VLOOKUP(C358,'Auction Summary'!$P$3:$R$600,2,FALSE))</f>
        <v/>
      </c>
      <c r="P358" s="16"/>
      <c r="Q358" s="95" t="e">
        <f>VLOOKUP(C358,'Member Details (HOF Only)'!$A$2:$U$219,4,FALSE)</f>
        <v>#N/A</v>
      </c>
      <c r="R358" s="13"/>
      <c r="S358" s="95" t="e">
        <f>VLOOKUP(C358,'Member Details (HOF Only)'!$A$2:$U$219,7,FALSE)</f>
        <v>#N/A</v>
      </c>
      <c r="T358" s="11">
        <f t="shared" si="5"/>
        <v>0</v>
      </c>
    </row>
    <row r="359" spans="1:20" x14ac:dyDescent="0.2">
      <c r="A359" s="18"/>
      <c r="B359" s="85"/>
      <c r="C359" s="19"/>
      <c r="D359" s="31"/>
      <c r="E359" s="24"/>
      <c r="F359" s="16"/>
      <c r="G359" s="16"/>
      <c r="H359" s="16"/>
      <c r="I359" s="16"/>
      <c r="J359" s="20"/>
      <c r="K359" s="16"/>
      <c r="L359" s="16"/>
      <c r="M359" s="16"/>
      <c r="N359" s="16"/>
      <c r="O359" s="16" t="str">
        <f>IF(ISNA(VLOOKUP(C359,'Auction Summary'!$P$3:$R$600,2,FALSE)),"",VLOOKUP(C359,'Auction Summary'!$P$3:$R$600,2,FALSE))</f>
        <v/>
      </c>
      <c r="P359" s="16"/>
      <c r="Q359" s="95" t="e">
        <f>VLOOKUP(C359,'Member Details (HOF Only)'!$A$2:$U$219,4,FALSE)</f>
        <v>#N/A</v>
      </c>
      <c r="R359" s="13"/>
      <c r="S359" s="95" t="e">
        <f>VLOOKUP(C359,'Member Details (HOF Only)'!$A$2:$U$219,7,FALSE)</f>
        <v>#N/A</v>
      </c>
      <c r="T359" s="11">
        <f t="shared" si="5"/>
        <v>0</v>
      </c>
    </row>
    <row r="360" spans="1:20" x14ac:dyDescent="0.2">
      <c r="A360" s="18"/>
      <c r="B360" s="85"/>
      <c r="C360" s="19"/>
      <c r="D360" s="31"/>
      <c r="E360" s="24"/>
      <c r="F360" s="16"/>
      <c r="G360" s="16"/>
      <c r="H360" s="16"/>
      <c r="I360" s="16"/>
      <c r="J360" s="20"/>
      <c r="K360" s="16"/>
      <c r="L360" s="16"/>
      <c r="M360" s="16"/>
      <c r="N360" s="16"/>
      <c r="O360" s="16" t="str">
        <f>IF(ISNA(VLOOKUP(C360,'Auction Summary'!$P$3:$R$600,2,FALSE)),"",VLOOKUP(C360,'Auction Summary'!$P$3:$R$600,2,FALSE))</f>
        <v/>
      </c>
      <c r="P360" s="16"/>
      <c r="Q360" s="95" t="e">
        <f>VLOOKUP(C360,'Member Details (HOF Only)'!$A$2:$U$219,4,FALSE)</f>
        <v>#N/A</v>
      </c>
      <c r="R360" s="13"/>
      <c r="S360" s="95" t="e">
        <f>VLOOKUP(C360,'Member Details (HOF Only)'!$A$2:$U$219,7,FALSE)</f>
        <v>#N/A</v>
      </c>
      <c r="T360" s="11">
        <f t="shared" si="5"/>
        <v>0</v>
      </c>
    </row>
    <row r="361" spans="1:20" x14ac:dyDescent="0.2">
      <c r="A361" s="18"/>
      <c r="B361" s="85"/>
      <c r="C361" s="19"/>
      <c r="D361" s="31"/>
      <c r="E361" s="24"/>
      <c r="F361" s="16"/>
      <c r="G361" s="16"/>
      <c r="H361" s="16"/>
      <c r="I361" s="16"/>
      <c r="J361" s="20"/>
      <c r="K361" s="16"/>
      <c r="L361" s="16"/>
      <c r="M361" s="16"/>
      <c r="N361" s="16"/>
      <c r="O361" s="16" t="str">
        <f>IF(ISNA(VLOOKUP(C361,'Auction Summary'!$P$3:$R$600,2,FALSE)),"",VLOOKUP(C361,'Auction Summary'!$P$3:$R$600,2,FALSE))</f>
        <v/>
      </c>
      <c r="P361" s="16"/>
      <c r="Q361" s="95" t="e">
        <f>VLOOKUP(C361,'Member Details (HOF Only)'!$A$2:$U$219,4,FALSE)</f>
        <v>#N/A</v>
      </c>
      <c r="R361" s="13"/>
      <c r="S361" s="95" t="e">
        <f>VLOOKUP(C361,'Member Details (HOF Only)'!$A$2:$U$219,7,FALSE)</f>
        <v>#N/A</v>
      </c>
      <c r="T361" s="11">
        <f t="shared" si="5"/>
        <v>0</v>
      </c>
    </row>
    <row r="362" spans="1:20" x14ac:dyDescent="0.2">
      <c r="A362" s="18"/>
      <c r="B362" s="85"/>
      <c r="C362" s="19"/>
      <c r="D362" s="31"/>
      <c r="E362" s="24"/>
      <c r="F362" s="16"/>
      <c r="G362" s="16"/>
      <c r="H362" s="16"/>
      <c r="I362" s="16"/>
      <c r="J362" s="20"/>
      <c r="K362" s="16"/>
      <c r="L362" s="16"/>
      <c r="M362" s="16"/>
      <c r="N362" s="16"/>
      <c r="O362" s="16" t="str">
        <f>IF(ISNA(VLOOKUP(C362,'Auction Summary'!$P$3:$R$600,2,FALSE)),"",VLOOKUP(C362,'Auction Summary'!$P$3:$R$600,2,FALSE))</f>
        <v/>
      </c>
      <c r="P362" s="16"/>
      <c r="Q362" s="95" t="e">
        <f>VLOOKUP(C362,'Member Details (HOF Only)'!$A$2:$U$219,4,FALSE)</f>
        <v>#N/A</v>
      </c>
      <c r="R362" s="13"/>
      <c r="S362" s="95" t="e">
        <f>VLOOKUP(C362,'Member Details (HOF Only)'!$A$2:$U$219,7,FALSE)</f>
        <v>#N/A</v>
      </c>
      <c r="T362" s="11">
        <f t="shared" si="5"/>
        <v>0</v>
      </c>
    </row>
    <row r="363" spans="1:20" x14ac:dyDescent="0.2">
      <c r="A363" s="18"/>
      <c r="B363" s="85"/>
      <c r="C363" s="19"/>
      <c r="D363" s="31"/>
      <c r="E363" s="24"/>
      <c r="F363" s="16"/>
      <c r="G363" s="16"/>
      <c r="H363" s="16"/>
      <c r="I363" s="16"/>
      <c r="J363" s="20"/>
      <c r="K363" s="16"/>
      <c r="L363" s="16"/>
      <c r="M363" s="16"/>
      <c r="N363" s="16"/>
      <c r="O363" s="16" t="str">
        <f>IF(ISNA(VLOOKUP(C363,'Auction Summary'!$P$3:$R$600,2,FALSE)),"",VLOOKUP(C363,'Auction Summary'!$P$3:$R$600,2,FALSE))</f>
        <v/>
      </c>
      <c r="P363" s="16"/>
      <c r="Q363" s="95" t="e">
        <f>VLOOKUP(C363,'Member Details (HOF Only)'!$A$2:$U$219,4,FALSE)</f>
        <v>#N/A</v>
      </c>
      <c r="R363" s="13"/>
      <c r="S363" s="95" t="e">
        <f>VLOOKUP(C363,'Member Details (HOF Only)'!$A$2:$U$219,7,FALSE)</f>
        <v>#N/A</v>
      </c>
      <c r="T363" s="11">
        <f t="shared" si="5"/>
        <v>0</v>
      </c>
    </row>
    <row r="364" spans="1:20" x14ac:dyDescent="0.2">
      <c r="A364" s="18"/>
      <c r="B364" s="85"/>
      <c r="C364" s="19"/>
      <c r="D364" s="31"/>
      <c r="E364" s="24"/>
      <c r="F364" s="16"/>
      <c r="G364" s="16"/>
      <c r="H364" s="16"/>
      <c r="I364" s="16"/>
      <c r="J364" s="20"/>
      <c r="K364" s="16"/>
      <c r="L364" s="16"/>
      <c r="M364" s="16"/>
      <c r="N364" s="16"/>
      <c r="O364" s="16" t="str">
        <f>IF(ISNA(VLOOKUP(C364,'Auction Summary'!$P$3:$R$600,2,FALSE)),"",VLOOKUP(C364,'Auction Summary'!$P$3:$R$600,2,FALSE))</f>
        <v/>
      </c>
      <c r="P364" s="16"/>
      <c r="Q364" s="95" t="e">
        <f>VLOOKUP(C364,'Member Details (HOF Only)'!$A$2:$U$219,4,FALSE)</f>
        <v>#N/A</v>
      </c>
      <c r="R364" s="13"/>
      <c r="S364" s="95" t="e">
        <f>VLOOKUP(C364,'Member Details (HOF Only)'!$A$2:$U$219,7,FALSE)</f>
        <v>#N/A</v>
      </c>
      <c r="T364" s="11">
        <f t="shared" si="5"/>
        <v>0</v>
      </c>
    </row>
    <row r="365" spans="1:20" x14ac:dyDescent="0.2">
      <c r="A365" s="18"/>
      <c r="B365" s="85"/>
      <c r="C365" s="19"/>
      <c r="D365" s="31"/>
      <c r="E365" s="24"/>
      <c r="F365" s="16"/>
      <c r="G365" s="16"/>
      <c r="H365" s="16"/>
      <c r="I365" s="16"/>
      <c r="J365" s="20"/>
      <c r="K365" s="16"/>
      <c r="L365" s="16"/>
      <c r="M365" s="16"/>
      <c r="N365" s="16"/>
      <c r="O365" s="16" t="str">
        <f>IF(ISNA(VLOOKUP(C365,'Auction Summary'!$P$3:$R$600,2,FALSE)),"",VLOOKUP(C365,'Auction Summary'!$P$3:$R$600,2,FALSE))</f>
        <v/>
      </c>
      <c r="P365" s="16"/>
      <c r="Q365" s="95" t="e">
        <f>VLOOKUP(C365,'Member Details (HOF Only)'!$A$2:$U$219,4,FALSE)</f>
        <v>#N/A</v>
      </c>
      <c r="R365" s="13"/>
      <c r="S365" s="95" t="e">
        <f>VLOOKUP(C365,'Member Details (HOF Only)'!$A$2:$U$219,7,FALSE)</f>
        <v>#N/A</v>
      </c>
      <c r="T365" s="11">
        <f t="shared" si="5"/>
        <v>0</v>
      </c>
    </row>
    <row r="366" spans="1:20" x14ac:dyDescent="0.2">
      <c r="A366" s="18"/>
      <c r="B366" s="85"/>
      <c r="C366" s="19"/>
      <c r="D366" s="31"/>
      <c r="E366" s="24"/>
      <c r="F366" s="16"/>
      <c r="G366" s="16"/>
      <c r="H366" s="16"/>
      <c r="I366" s="16"/>
      <c r="J366" s="20"/>
      <c r="K366" s="16"/>
      <c r="L366" s="16"/>
      <c r="M366" s="16"/>
      <c r="N366" s="16"/>
      <c r="O366" s="16" t="str">
        <f>IF(ISNA(VLOOKUP(C366,'Auction Summary'!$P$3:$R$600,2,FALSE)),"",VLOOKUP(C366,'Auction Summary'!$P$3:$R$600,2,FALSE))</f>
        <v/>
      </c>
      <c r="P366" s="16"/>
      <c r="Q366" s="95" t="e">
        <f>VLOOKUP(C366,'Member Details (HOF Only)'!$A$2:$U$219,4,FALSE)</f>
        <v>#N/A</v>
      </c>
      <c r="R366" s="13"/>
      <c r="S366" s="95" t="e">
        <f>VLOOKUP(C366,'Member Details (HOF Only)'!$A$2:$U$219,7,FALSE)</f>
        <v>#N/A</v>
      </c>
      <c r="T366" s="11">
        <f t="shared" si="5"/>
        <v>0</v>
      </c>
    </row>
    <row r="367" spans="1:20" x14ac:dyDescent="0.2">
      <c r="A367" s="18"/>
      <c r="B367" s="85"/>
      <c r="C367" s="19"/>
      <c r="D367" s="31"/>
      <c r="E367" s="24"/>
      <c r="F367" s="16"/>
      <c r="G367" s="16"/>
      <c r="H367" s="16"/>
      <c r="I367" s="16"/>
      <c r="J367" s="20"/>
      <c r="K367" s="16"/>
      <c r="L367" s="16"/>
      <c r="M367" s="16"/>
      <c r="N367" s="16"/>
      <c r="O367" s="16" t="str">
        <f>IF(ISNA(VLOOKUP(C367,'Auction Summary'!$P$3:$R$600,2,FALSE)),"",VLOOKUP(C367,'Auction Summary'!$P$3:$R$600,2,FALSE))</f>
        <v/>
      </c>
      <c r="P367" s="16"/>
      <c r="Q367" s="95" t="e">
        <f>VLOOKUP(C367,'Member Details (HOF Only)'!$A$2:$U$219,4,FALSE)</f>
        <v>#N/A</v>
      </c>
      <c r="R367" s="13"/>
      <c r="S367" s="95" t="e">
        <f>VLOOKUP(C367,'Member Details (HOF Only)'!$A$2:$U$219,7,FALSE)</f>
        <v>#N/A</v>
      </c>
      <c r="T367" s="11">
        <f t="shared" si="5"/>
        <v>0</v>
      </c>
    </row>
    <row r="368" spans="1:20" x14ac:dyDescent="0.2">
      <c r="A368" s="18"/>
      <c r="B368" s="85"/>
      <c r="C368" s="19"/>
      <c r="D368" s="31"/>
      <c r="E368" s="24"/>
      <c r="F368" s="16"/>
      <c r="G368" s="16"/>
      <c r="H368" s="16"/>
      <c r="I368" s="16"/>
      <c r="J368" s="20"/>
      <c r="K368" s="16"/>
      <c r="L368" s="16"/>
      <c r="M368" s="16"/>
      <c r="N368" s="16"/>
      <c r="O368" s="16" t="str">
        <f>IF(ISNA(VLOOKUP(C368,'Auction Summary'!$P$3:$R$600,2,FALSE)),"",VLOOKUP(C368,'Auction Summary'!$P$3:$R$600,2,FALSE))</f>
        <v/>
      </c>
      <c r="P368" s="16"/>
      <c r="Q368" s="95" t="e">
        <f>VLOOKUP(C368,'Member Details (HOF Only)'!$A$2:$U$219,4,FALSE)</f>
        <v>#N/A</v>
      </c>
      <c r="R368" s="13"/>
      <c r="S368" s="95" t="e">
        <f>VLOOKUP(C368,'Member Details (HOF Only)'!$A$2:$U$219,7,FALSE)</f>
        <v>#N/A</v>
      </c>
      <c r="T368" s="11">
        <f t="shared" si="5"/>
        <v>0</v>
      </c>
    </row>
    <row r="369" spans="1:20" x14ac:dyDescent="0.2">
      <c r="A369" s="18"/>
      <c r="B369" s="85"/>
      <c r="C369" s="19"/>
      <c r="D369" s="31"/>
      <c r="E369" s="24"/>
      <c r="F369" s="16"/>
      <c r="G369" s="16"/>
      <c r="H369" s="16"/>
      <c r="I369" s="16"/>
      <c r="J369" s="20"/>
      <c r="K369" s="16"/>
      <c r="L369" s="16"/>
      <c r="M369" s="16"/>
      <c r="N369" s="16"/>
      <c r="O369" s="16" t="str">
        <f>IF(ISNA(VLOOKUP(C369,'Auction Summary'!$P$3:$R$600,2,FALSE)),"",VLOOKUP(C369,'Auction Summary'!$P$3:$R$600,2,FALSE))</f>
        <v/>
      </c>
      <c r="P369" s="16"/>
      <c r="Q369" s="95" t="e">
        <f>VLOOKUP(C369,'Member Details (HOF Only)'!$A$2:$U$219,4,FALSE)</f>
        <v>#N/A</v>
      </c>
      <c r="R369" s="13"/>
      <c r="S369" s="95" t="e">
        <f>VLOOKUP(C369,'Member Details (HOF Only)'!$A$2:$U$219,7,FALSE)</f>
        <v>#N/A</v>
      </c>
      <c r="T369" s="11">
        <f t="shared" si="5"/>
        <v>0</v>
      </c>
    </row>
    <row r="370" spans="1:20" x14ac:dyDescent="0.2">
      <c r="A370" s="18"/>
      <c r="B370" s="85"/>
      <c r="C370" s="19"/>
      <c r="D370" s="31"/>
      <c r="E370" s="24"/>
      <c r="F370" s="16"/>
      <c r="G370" s="16"/>
      <c r="H370" s="16"/>
      <c r="I370" s="16"/>
      <c r="J370" s="20"/>
      <c r="K370" s="16"/>
      <c r="L370" s="16"/>
      <c r="M370" s="16"/>
      <c r="N370" s="16"/>
      <c r="O370" s="16" t="str">
        <f>IF(ISNA(VLOOKUP(C370,'Auction Summary'!$P$3:$R$600,2,FALSE)),"",VLOOKUP(C370,'Auction Summary'!$P$3:$R$600,2,FALSE))</f>
        <v/>
      </c>
      <c r="P370" s="16"/>
      <c r="Q370" s="95" t="e">
        <f>VLOOKUP(C370,'Member Details (HOF Only)'!$A$2:$U$219,4,FALSE)</f>
        <v>#N/A</v>
      </c>
      <c r="R370" s="13"/>
      <c r="S370" s="95" t="e">
        <f>VLOOKUP(C370,'Member Details (HOF Only)'!$A$2:$U$219,7,FALSE)</f>
        <v>#N/A</v>
      </c>
      <c r="T370" s="11">
        <f t="shared" si="5"/>
        <v>0</v>
      </c>
    </row>
    <row r="371" spans="1:20" x14ac:dyDescent="0.2">
      <c r="A371" s="18"/>
      <c r="B371" s="85"/>
      <c r="C371" s="19"/>
      <c r="D371" s="31"/>
      <c r="E371" s="24"/>
      <c r="F371" s="16"/>
      <c r="G371" s="16"/>
      <c r="H371" s="16"/>
      <c r="I371" s="16"/>
      <c r="J371" s="20"/>
      <c r="K371" s="16"/>
      <c r="L371" s="16"/>
      <c r="M371" s="16"/>
      <c r="N371" s="16"/>
      <c r="O371" s="16" t="str">
        <f>IF(ISNA(VLOOKUP(C371,'Auction Summary'!$P$3:$R$600,2,FALSE)),"",VLOOKUP(C371,'Auction Summary'!$P$3:$R$600,2,FALSE))</f>
        <v/>
      </c>
      <c r="P371" s="16"/>
      <c r="Q371" s="95" t="e">
        <f>VLOOKUP(C371,'Member Details (HOF Only)'!$A$2:$U$219,4,FALSE)</f>
        <v>#N/A</v>
      </c>
      <c r="R371" s="13"/>
      <c r="S371" s="95" t="e">
        <f>VLOOKUP(C371,'Member Details (HOF Only)'!$A$2:$U$219,7,FALSE)</f>
        <v>#N/A</v>
      </c>
      <c r="T371" s="11">
        <f t="shared" si="5"/>
        <v>0</v>
      </c>
    </row>
    <row r="372" spans="1:20" x14ac:dyDescent="0.2">
      <c r="A372" s="18"/>
      <c r="B372" s="85"/>
      <c r="C372" s="19"/>
      <c r="D372" s="31"/>
      <c r="E372" s="24"/>
      <c r="F372" s="16"/>
      <c r="G372" s="16"/>
      <c r="H372" s="16"/>
      <c r="I372" s="16"/>
      <c r="J372" s="20"/>
      <c r="K372" s="16"/>
      <c r="L372" s="16"/>
      <c r="M372" s="16"/>
      <c r="N372" s="16"/>
      <c r="O372" s="16" t="str">
        <f>IF(ISNA(VLOOKUP(C372,'Auction Summary'!$P$3:$R$600,2,FALSE)),"",VLOOKUP(C372,'Auction Summary'!$P$3:$R$600,2,FALSE))</f>
        <v/>
      </c>
      <c r="P372" s="16"/>
      <c r="Q372" s="95" t="e">
        <f>VLOOKUP(C372,'Member Details (HOF Only)'!$A$2:$U$219,4,FALSE)</f>
        <v>#N/A</v>
      </c>
      <c r="R372" s="13"/>
      <c r="S372" s="95" t="e">
        <f>VLOOKUP(C372,'Member Details (HOF Only)'!$A$2:$U$219,7,FALSE)</f>
        <v>#N/A</v>
      </c>
      <c r="T372" s="11">
        <f t="shared" si="5"/>
        <v>0</v>
      </c>
    </row>
    <row r="373" spans="1:20" x14ac:dyDescent="0.2">
      <c r="A373" s="18"/>
      <c r="B373" s="85"/>
      <c r="C373" s="19"/>
      <c r="D373" s="31"/>
      <c r="E373" s="24"/>
      <c r="F373" s="16"/>
      <c r="G373" s="16"/>
      <c r="H373" s="16"/>
      <c r="I373" s="16"/>
      <c r="J373" s="20"/>
      <c r="K373" s="16"/>
      <c r="L373" s="16"/>
      <c r="M373" s="16"/>
      <c r="N373" s="16"/>
      <c r="O373" s="16" t="str">
        <f>IF(ISNA(VLOOKUP(C373,'Auction Summary'!$P$3:$R$600,2,FALSE)),"",VLOOKUP(C373,'Auction Summary'!$P$3:$R$600,2,FALSE))</f>
        <v/>
      </c>
      <c r="P373" s="16"/>
      <c r="Q373" s="95" t="e">
        <f>VLOOKUP(C373,'Member Details (HOF Only)'!$A$2:$U$219,4,FALSE)</f>
        <v>#N/A</v>
      </c>
      <c r="R373" s="13"/>
      <c r="S373" s="95" t="e">
        <f>VLOOKUP(C373,'Member Details (HOF Only)'!$A$2:$U$219,7,FALSE)</f>
        <v>#N/A</v>
      </c>
      <c r="T373" s="11">
        <f t="shared" si="5"/>
        <v>0</v>
      </c>
    </row>
    <row r="374" spans="1:20" x14ac:dyDescent="0.2">
      <c r="A374" s="18"/>
      <c r="B374" s="85"/>
      <c r="C374" s="19"/>
      <c r="D374" s="31"/>
      <c r="E374" s="24"/>
      <c r="F374" s="16"/>
      <c r="G374" s="16"/>
      <c r="H374" s="16"/>
      <c r="I374" s="16"/>
      <c r="J374" s="20"/>
      <c r="K374" s="16"/>
      <c r="L374" s="16"/>
      <c r="M374" s="16"/>
      <c r="N374" s="16"/>
      <c r="O374" s="16" t="str">
        <f>IF(ISNA(VLOOKUP(C374,'Auction Summary'!$P$3:$R$600,2,FALSE)),"",VLOOKUP(C374,'Auction Summary'!$P$3:$R$600,2,FALSE))</f>
        <v/>
      </c>
      <c r="P374" s="16"/>
      <c r="Q374" s="95" t="e">
        <f>VLOOKUP(C374,'Member Details (HOF Only)'!$A$2:$U$219,4,FALSE)</f>
        <v>#N/A</v>
      </c>
      <c r="R374" s="13"/>
      <c r="S374" s="95" t="e">
        <f>VLOOKUP(C374,'Member Details (HOF Only)'!$A$2:$U$219,7,FALSE)</f>
        <v>#N/A</v>
      </c>
      <c r="T374" s="11">
        <f t="shared" si="5"/>
        <v>0</v>
      </c>
    </row>
    <row r="375" spans="1:20" x14ac:dyDescent="0.2">
      <c r="A375" s="18"/>
      <c r="B375" s="85"/>
      <c r="C375" s="19"/>
      <c r="D375" s="31"/>
      <c r="E375" s="24"/>
      <c r="F375" s="16"/>
      <c r="G375" s="16"/>
      <c r="H375" s="16"/>
      <c r="I375" s="16"/>
      <c r="J375" s="20"/>
      <c r="K375" s="16"/>
      <c r="L375" s="16"/>
      <c r="M375" s="16"/>
      <c r="N375" s="16"/>
      <c r="O375" s="16" t="str">
        <f>IF(ISNA(VLOOKUP(C375,'Auction Summary'!$P$3:$R$600,2,FALSE)),"",VLOOKUP(C375,'Auction Summary'!$P$3:$R$600,2,FALSE))</f>
        <v/>
      </c>
      <c r="P375" s="16"/>
      <c r="Q375" s="95" t="e">
        <f>VLOOKUP(C375,'Member Details (HOF Only)'!$A$2:$U$219,4,FALSE)</f>
        <v>#N/A</v>
      </c>
      <c r="R375" s="13"/>
      <c r="S375" s="95" t="e">
        <f>VLOOKUP(C375,'Member Details (HOF Only)'!$A$2:$U$219,7,FALSE)</f>
        <v>#N/A</v>
      </c>
      <c r="T375" s="11">
        <f t="shared" si="5"/>
        <v>0</v>
      </c>
    </row>
    <row r="376" spans="1:20" x14ac:dyDescent="0.2">
      <c r="A376" s="18"/>
      <c r="B376" s="85"/>
      <c r="C376" s="19"/>
      <c r="D376" s="31"/>
      <c r="E376" s="24"/>
      <c r="F376" s="16"/>
      <c r="G376" s="16"/>
      <c r="H376" s="16"/>
      <c r="I376" s="16"/>
      <c r="J376" s="20"/>
      <c r="K376" s="16"/>
      <c r="L376" s="16"/>
      <c r="M376" s="16"/>
      <c r="N376" s="16"/>
      <c r="O376" s="16" t="str">
        <f>IF(ISNA(VLOOKUP(C376,'Auction Summary'!$P$3:$R$600,2,FALSE)),"",VLOOKUP(C376,'Auction Summary'!$P$3:$R$600,2,FALSE))</f>
        <v/>
      </c>
      <c r="P376" s="16"/>
      <c r="Q376" s="95" t="e">
        <f>VLOOKUP(C376,'Member Details (HOF Only)'!$A$2:$U$219,4,FALSE)</f>
        <v>#N/A</v>
      </c>
      <c r="R376" s="13"/>
      <c r="S376" s="95" t="e">
        <f>VLOOKUP(C376,'Member Details (HOF Only)'!$A$2:$U$219,7,FALSE)</f>
        <v>#N/A</v>
      </c>
      <c r="T376" s="11">
        <f t="shared" si="5"/>
        <v>0</v>
      </c>
    </row>
    <row r="377" spans="1:20" x14ac:dyDescent="0.2">
      <c r="A377" s="18"/>
      <c r="B377" s="85"/>
      <c r="C377" s="19"/>
      <c r="D377" s="31"/>
      <c r="E377" s="24"/>
      <c r="F377" s="16"/>
      <c r="G377" s="16"/>
      <c r="H377" s="16"/>
      <c r="I377" s="16"/>
      <c r="J377" s="20"/>
      <c r="K377" s="16"/>
      <c r="L377" s="16"/>
      <c r="M377" s="16"/>
      <c r="N377" s="16"/>
      <c r="O377" s="16" t="str">
        <f>IF(ISNA(VLOOKUP(C377,'Auction Summary'!$P$3:$R$600,2,FALSE)),"",VLOOKUP(C377,'Auction Summary'!$P$3:$R$600,2,FALSE))</f>
        <v/>
      </c>
      <c r="P377" s="16"/>
      <c r="Q377" s="95" t="e">
        <f>VLOOKUP(C377,'Member Details (HOF Only)'!$A$2:$U$219,4,FALSE)</f>
        <v>#N/A</v>
      </c>
      <c r="R377" s="13"/>
      <c r="S377" s="95" t="e">
        <f>VLOOKUP(C377,'Member Details (HOF Only)'!$A$2:$U$219,7,FALSE)</f>
        <v>#N/A</v>
      </c>
      <c r="T377" s="11">
        <f t="shared" si="5"/>
        <v>0</v>
      </c>
    </row>
    <row r="378" spans="1:20" x14ac:dyDescent="0.2">
      <c r="A378" s="18"/>
      <c r="B378" s="85"/>
      <c r="C378" s="19"/>
      <c r="D378" s="31"/>
      <c r="E378" s="24"/>
      <c r="F378" s="16"/>
      <c r="G378" s="16"/>
      <c r="H378" s="16"/>
      <c r="I378" s="16"/>
      <c r="J378" s="20"/>
      <c r="K378" s="16"/>
      <c r="L378" s="16"/>
      <c r="M378" s="16"/>
      <c r="N378" s="16"/>
      <c r="O378" s="16" t="str">
        <f>IF(ISNA(VLOOKUP(C378,'Auction Summary'!$P$3:$R$600,2,FALSE)),"",VLOOKUP(C378,'Auction Summary'!$P$3:$R$600,2,FALSE))</f>
        <v/>
      </c>
      <c r="P378" s="16"/>
      <c r="Q378" s="95" t="e">
        <f>VLOOKUP(C378,'Member Details (HOF Only)'!$A$2:$U$219,4,FALSE)</f>
        <v>#N/A</v>
      </c>
      <c r="R378" s="13"/>
      <c r="S378" s="95" t="e">
        <f>VLOOKUP(C378,'Member Details (HOF Only)'!$A$2:$U$219,7,FALSE)</f>
        <v>#N/A</v>
      </c>
      <c r="T378" s="11">
        <f t="shared" si="5"/>
        <v>0</v>
      </c>
    </row>
    <row r="379" spans="1:20" x14ac:dyDescent="0.2">
      <c r="A379" s="18"/>
      <c r="B379" s="85"/>
      <c r="C379" s="19"/>
      <c r="D379" s="31"/>
      <c r="E379" s="24"/>
      <c r="F379" s="16"/>
      <c r="G379" s="16"/>
      <c r="H379" s="16"/>
      <c r="I379" s="16"/>
      <c r="J379" s="20"/>
      <c r="K379" s="16"/>
      <c r="L379" s="16"/>
      <c r="M379" s="16"/>
      <c r="N379" s="16"/>
      <c r="O379" s="16" t="str">
        <f>IF(ISNA(VLOOKUP(C379,'Auction Summary'!$P$3:$R$600,2,FALSE)),"",VLOOKUP(C379,'Auction Summary'!$P$3:$R$600,2,FALSE))</f>
        <v/>
      </c>
      <c r="P379" s="16"/>
      <c r="Q379" s="95" t="e">
        <f>VLOOKUP(C379,'Member Details (HOF Only)'!$A$2:$U$219,4,FALSE)</f>
        <v>#N/A</v>
      </c>
      <c r="R379" s="13"/>
      <c r="S379" s="95" t="e">
        <f>VLOOKUP(C379,'Member Details (HOF Only)'!$A$2:$U$219,7,FALSE)</f>
        <v>#N/A</v>
      </c>
      <c r="T379" s="11">
        <f t="shared" si="5"/>
        <v>0</v>
      </c>
    </row>
    <row r="380" spans="1:20" x14ac:dyDescent="0.2">
      <c r="A380" s="18"/>
      <c r="B380" s="85"/>
      <c r="C380" s="19"/>
      <c r="D380" s="31"/>
      <c r="E380" s="24"/>
      <c r="F380" s="16"/>
      <c r="G380" s="16"/>
      <c r="H380" s="16"/>
      <c r="I380" s="16"/>
      <c r="J380" s="20"/>
      <c r="K380" s="16"/>
      <c r="L380" s="16"/>
      <c r="M380" s="16"/>
      <c r="N380" s="16"/>
      <c r="O380" s="16" t="str">
        <f>IF(ISNA(VLOOKUP(C380,'Auction Summary'!$P$3:$R$600,2,FALSE)),"",VLOOKUP(C380,'Auction Summary'!$P$3:$R$600,2,FALSE))</f>
        <v/>
      </c>
      <c r="P380" s="16"/>
      <c r="Q380" s="95" t="e">
        <f>VLOOKUP(C380,'Member Details (HOF Only)'!$A$2:$U$219,4,FALSE)</f>
        <v>#N/A</v>
      </c>
      <c r="R380" s="13"/>
      <c r="S380" s="95" t="e">
        <f>VLOOKUP(C380,'Member Details (HOF Only)'!$A$2:$U$219,7,FALSE)</f>
        <v>#N/A</v>
      </c>
      <c r="T380" s="11">
        <f t="shared" si="5"/>
        <v>0</v>
      </c>
    </row>
    <row r="381" spans="1:20" x14ac:dyDescent="0.2">
      <c r="A381" s="18"/>
      <c r="B381" s="85"/>
      <c r="C381" s="19"/>
      <c r="D381" s="31"/>
      <c r="E381" s="24"/>
      <c r="F381" s="16"/>
      <c r="G381" s="16"/>
      <c r="H381" s="16"/>
      <c r="I381" s="16"/>
      <c r="J381" s="20"/>
      <c r="K381" s="16"/>
      <c r="L381" s="16"/>
      <c r="M381" s="16"/>
      <c r="N381" s="16"/>
      <c r="O381" s="16" t="str">
        <f>IF(ISNA(VLOOKUP(C381,'Auction Summary'!$P$3:$R$600,2,FALSE)),"",VLOOKUP(C381,'Auction Summary'!$P$3:$R$600,2,FALSE))</f>
        <v/>
      </c>
      <c r="P381" s="16"/>
      <c r="Q381" s="95" t="e">
        <f>VLOOKUP(C381,'Member Details (HOF Only)'!$A$2:$U$219,4,FALSE)</f>
        <v>#N/A</v>
      </c>
      <c r="R381" s="13"/>
      <c r="S381" s="95" t="e">
        <f>VLOOKUP(C381,'Member Details (HOF Only)'!$A$2:$U$219,7,FALSE)</f>
        <v>#N/A</v>
      </c>
      <c r="T381" s="11">
        <f t="shared" si="5"/>
        <v>0</v>
      </c>
    </row>
    <row r="382" spans="1:20" x14ac:dyDescent="0.2">
      <c r="A382" s="18"/>
      <c r="B382" s="85"/>
      <c r="C382" s="19"/>
      <c r="D382" s="31"/>
      <c r="E382" s="24"/>
      <c r="F382" s="16"/>
      <c r="G382" s="16"/>
      <c r="H382" s="16"/>
      <c r="I382" s="16"/>
      <c r="J382" s="20"/>
      <c r="K382" s="16"/>
      <c r="L382" s="16"/>
      <c r="M382" s="16"/>
      <c r="N382" s="16"/>
      <c r="O382" s="16" t="str">
        <f>IF(ISNA(VLOOKUP(C382,'Auction Summary'!$P$3:$R$600,2,FALSE)),"",VLOOKUP(C382,'Auction Summary'!$P$3:$R$600,2,FALSE))</f>
        <v/>
      </c>
      <c r="P382" s="16"/>
      <c r="Q382" s="95" t="e">
        <f>VLOOKUP(C382,'Member Details (HOF Only)'!$A$2:$U$219,4,FALSE)</f>
        <v>#N/A</v>
      </c>
      <c r="R382" s="13"/>
      <c r="S382" s="95" t="e">
        <f>VLOOKUP(C382,'Member Details (HOF Only)'!$A$2:$U$219,7,FALSE)</f>
        <v>#N/A</v>
      </c>
      <c r="T382" s="11">
        <f t="shared" si="5"/>
        <v>0</v>
      </c>
    </row>
    <row r="383" spans="1:20" x14ac:dyDescent="0.2">
      <c r="A383" s="18"/>
      <c r="B383" s="85"/>
      <c r="C383" s="19"/>
      <c r="D383" s="31"/>
      <c r="E383" s="24"/>
      <c r="F383" s="16"/>
      <c r="G383" s="16"/>
      <c r="H383" s="16"/>
      <c r="I383" s="16"/>
      <c r="J383" s="20"/>
      <c r="K383" s="16"/>
      <c r="L383" s="16"/>
      <c r="M383" s="16"/>
      <c r="N383" s="16"/>
      <c r="O383" s="16" t="str">
        <f>IF(ISNA(VLOOKUP(C383,'Auction Summary'!$P$3:$R$600,2,FALSE)),"",VLOOKUP(C383,'Auction Summary'!$P$3:$R$600,2,FALSE))</f>
        <v/>
      </c>
      <c r="P383" s="16"/>
      <c r="Q383" s="95" t="e">
        <f>VLOOKUP(C383,'Member Details (HOF Only)'!$A$2:$U$219,4,FALSE)</f>
        <v>#N/A</v>
      </c>
      <c r="R383" s="13"/>
      <c r="S383" s="95" t="e">
        <f>VLOOKUP(C383,'Member Details (HOF Only)'!$A$2:$U$219,7,FALSE)</f>
        <v>#N/A</v>
      </c>
      <c r="T383" s="11">
        <f t="shared" si="5"/>
        <v>0</v>
      </c>
    </row>
    <row r="384" spans="1:20" x14ac:dyDescent="0.2">
      <c r="A384" s="18"/>
      <c r="B384" s="85"/>
      <c r="C384" s="19"/>
      <c r="D384" s="31"/>
      <c r="E384" s="24"/>
      <c r="F384" s="16"/>
      <c r="G384" s="16"/>
      <c r="H384" s="16"/>
      <c r="I384" s="16"/>
      <c r="J384" s="20"/>
      <c r="K384" s="16"/>
      <c r="L384" s="16"/>
      <c r="M384" s="16"/>
      <c r="N384" s="16"/>
      <c r="O384" s="16" t="str">
        <f>IF(ISNA(VLOOKUP(C384,'Auction Summary'!$P$3:$R$600,2,FALSE)),"",VLOOKUP(C384,'Auction Summary'!$P$3:$R$600,2,FALSE))</f>
        <v/>
      </c>
      <c r="P384" s="16"/>
      <c r="Q384" s="95" t="e">
        <f>VLOOKUP(C384,'Member Details (HOF Only)'!$A$2:$U$219,4,FALSE)</f>
        <v>#N/A</v>
      </c>
      <c r="R384" s="13"/>
      <c r="S384" s="95" t="e">
        <f>VLOOKUP(C384,'Member Details (HOF Only)'!$A$2:$U$219,7,FALSE)</f>
        <v>#N/A</v>
      </c>
      <c r="T384" s="11">
        <f t="shared" si="5"/>
        <v>0</v>
      </c>
    </row>
    <row r="385" spans="1:20" x14ac:dyDescent="0.2">
      <c r="A385" s="18"/>
      <c r="B385" s="85"/>
      <c r="C385" s="19"/>
      <c r="D385" s="31"/>
      <c r="E385" s="24"/>
      <c r="F385" s="16"/>
      <c r="G385" s="16"/>
      <c r="H385" s="16"/>
      <c r="I385" s="16"/>
      <c r="J385" s="20"/>
      <c r="K385" s="16"/>
      <c r="L385" s="16"/>
      <c r="M385" s="16"/>
      <c r="N385" s="16"/>
      <c r="O385" s="16" t="str">
        <f>IF(ISNA(VLOOKUP(C385,'Auction Summary'!$P$3:$R$600,2,FALSE)),"",VLOOKUP(C385,'Auction Summary'!$P$3:$R$600,2,FALSE))</f>
        <v/>
      </c>
      <c r="P385" s="16"/>
      <c r="Q385" s="95" t="e">
        <f>VLOOKUP(C385,'Member Details (HOF Only)'!$A$2:$U$219,4,FALSE)</f>
        <v>#N/A</v>
      </c>
      <c r="R385" s="13"/>
      <c r="S385" s="95" t="e">
        <f>VLOOKUP(C385,'Member Details (HOF Only)'!$A$2:$U$219,7,FALSE)</f>
        <v>#N/A</v>
      </c>
      <c r="T385" s="11">
        <f t="shared" ref="T385:T448" si="6">T384+D385</f>
        <v>0</v>
      </c>
    </row>
    <row r="386" spans="1:20" x14ac:dyDescent="0.2">
      <c r="A386" s="18"/>
      <c r="B386" s="85"/>
      <c r="C386" s="19"/>
      <c r="D386" s="31"/>
      <c r="E386" s="24"/>
      <c r="F386" s="16"/>
      <c r="G386" s="16"/>
      <c r="H386" s="16"/>
      <c r="I386" s="16"/>
      <c r="J386" s="20"/>
      <c r="K386" s="16"/>
      <c r="L386" s="16"/>
      <c r="M386" s="16"/>
      <c r="N386" s="16"/>
      <c r="O386" s="16" t="str">
        <f>IF(ISNA(VLOOKUP(C386,'Auction Summary'!$P$3:$R$600,2,FALSE)),"",VLOOKUP(C386,'Auction Summary'!$P$3:$R$600,2,FALSE))</f>
        <v/>
      </c>
      <c r="P386" s="16"/>
      <c r="Q386" s="95" t="e">
        <f>VLOOKUP(C386,'Member Details (HOF Only)'!$A$2:$U$219,4,FALSE)</f>
        <v>#N/A</v>
      </c>
      <c r="R386" s="13"/>
      <c r="S386" s="95" t="e">
        <f>VLOOKUP(C386,'Member Details (HOF Only)'!$A$2:$U$219,7,FALSE)</f>
        <v>#N/A</v>
      </c>
      <c r="T386" s="11">
        <f t="shared" si="6"/>
        <v>0</v>
      </c>
    </row>
    <row r="387" spans="1:20" x14ac:dyDescent="0.2">
      <c r="A387" s="18"/>
      <c r="B387" s="85"/>
      <c r="C387" s="19"/>
      <c r="D387" s="31"/>
      <c r="E387" s="24"/>
      <c r="F387" s="16"/>
      <c r="G387" s="16"/>
      <c r="H387" s="16"/>
      <c r="I387" s="16"/>
      <c r="J387" s="20"/>
      <c r="K387" s="16"/>
      <c r="L387" s="16"/>
      <c r="M387" s="16"/>
      <c r="N387" s="16"/>
      <c r="O387" s="16" t="str">
        <f>IF(ISNA(VLOOKUP(C387,'Auction Summary'!$P$3:$R$600,2,FALSE)),"",VLOOKUP(C387,'Auction Summary'!$P$3:$R$600,2,FALSE))</f>
        <v/>
      </c>
      <c r="P387" s="16"/>
      <c r="Q387" s="95" t="e">
        <f>VLOOKUP(C387,'Member Details (HOF Only)'!$A$2:$U$219,4,FALSE)</f>
        <v>#N/A</v>
      </c>
      <c r="R387" s="13"/>
      <c r="S387" s="95" t="e">
        <f>VLOOKUP(C387,'Member Details (HOF Only)'!$A$2:$U$219,7,FALSE)</f>
        <v>#N/A</v>
      </c>
      <c r="T387" s="11">
        <f t="shared" si="6"/>
        <v>0</v>
      </c>
    </row>
    <row r="388" spans="1:20" x14ac:dyDescent="0.2">
      <c r="A388" s="18"/>
      <c r="B388" s="85"/>
      <c r="C388" s="19"/>
      <c r="D388" s="31"/>
      <c r="E388" s="24"/>
      <c r="F388" s="16"/>
      <c r="G388" s="16"/>
      <c r="H388" s="16"/>
      <c r="I388" s="16"/>
      <c r="J388" s="20"/>
      <c r="K388" s="16"/>
      <c r="L388" s="16"/>
      <c r="M388" s="16"/>
      <c r="N388" s="16"/>
      <c r="O388" s="16" t="str">
        <f>IF(ISNA(VLOOKUP(C388,'Auction Summary'!$P$3:$R$600,2,FALSE)),"",VLOOKUP(C388,'Auction Summary'!$P$3:$R$600,2,FALSE))</f>
        <v/>
      </c>
      <c r="P388" s="16"/>
      <c r="Q388" s="95" t="e">
        <f>VLOOKUP(C388,'Member Details (HOF Only)'!$A$2:$U$219,4,FALSE)</f>
        <v>#N/A</v>
      </c>
      <c r="R388" s="13"/>
      <c r="S388" s="95" t="e">
        <f>VLOOKUP(C388,'Member Details (HOF Only)'!$A$2:$U$219,7,FALSE)</f>
        <v>#N/A</v>
      </c>
      <c r="T388" s="11">
        <f t="shared" si="6"/>
        <v>0</v>
      </c>
    </row>
    <row r="389" spans="1:20" x14ac:dyDescent="0.2">
      <c r="A389" s="18"/>
      <c r="B389" s="85"/>
      <c r="C389" s="19"/>
      <c r="D389" s="31"/>
      <c r="E389" s="24"/>
      <c r="F389" s="16"/>
      <c r="G389" s="16"/>
      <c r="H389" s="16"/>
      <c r="I389" s="16"/>
      <c r="J389" s="20"/>
      <c r="K389" s="16"/>
      <c r="L389" s="16"/>
      <c r="M389" s="16"/>
      <c r="N389" s="16"/>
      <c r="O389" s="16" t="str">
        <f>IF(ISNA(VLOOKUP(C389,'Auction Summary'!$P$3:$R$600,2,FALSE)),"",VLOOKUP(C389,'Auction Summary'!$P$3:$R$600,2,FALSE))</f>
        <v/>
      </c>
      <c r="P389" s="16"/>
      <c r="Q389" s="95" t="e">
        <f>VLOOKUP(C389,'Member Details (HOF Only)'!$A$2:$U$219,4,FALSE)</f>
        <v>#N/A</v>
      </c>
      <c r="R389" s="13"/>
      <c r="S389" s="95" t="e">
        <f>VLOOKUP(C389,'Member Details (HOF Only)'!$A$2:$U$219,7,FALSE)</f>
        <v>#N/A</v>
      </c>
      <c r="T389" s="11">
        <f t="shared" si="6"/>
        <v>0</v>
      </c>
    </row>
    <row r="390" spans="1:20" x14ac:dyDescent="0.2">
      <c r="A390" s="18"/>
      <c r="B390" s="85"/>
      <c r="C390" s="19"/>
      <c r="D390" s="31"/>
      <c r="E390" s="24"/>
      <c r="F390" s="16"/>
      <c r="G390" s="16"/>
      <c r="H390" s="16"/>
      <c r="I390" s="16"/>
      <c r="J390" s="20"/>
      <c r="K390" s="16"/>
      <c r="L390" s="16"/>
      <c r="M390" s="16"/>
      <c r="N390" s="16"/>
      <c r="O390" s="16" t="str">
        <f>IF(ISNA(VLOOKUP(C390,'Auction Summary'!$P$3:$R$600,2,FALSE)),"",VLOOKUP(C390,'Auction Summary'!$P$3:$R$600,2,FALSE))</f>
        <v/>
      </c>
      <c r="P390" s="16"/>
      <c r="Q390" s="95" t="e">
        <f>VLOOKUP(C390,'Member Details (HOF Only)'!$A$2:$U$219,4,FALSE)</f>
        <v>#N/A</v>
      </c>
      <c r="R390" s="13"/>
      <c r="S390" s="95" t="e">
        <f>VLOOKUP(C390,'Member Details (HOF Only)'!$A$2:$U$219,7,FALSE)</f>
        <v>#N/A</v>
      </c>
      <c r="T390" s="11">
        <f t="shared" si="6"/>
        <v>0</v>
      </c>
    </row>
    <row r="391" spans="1:20" x14ac:dyDescent="0.2">
      <c r="A391" s="18"/>
      <c r="B391" s="85"/>
      <c r="C391" s="19"/>
      <c r="D391" s="31"/>
      <c r="E391" s="24"/>
      <c r="F391" s="16"/>
      <c r="G391" s="16"/>
      <c r="H391" s="16"/>
      <c r="I391" s="16"/>
      <c r="J391" s="20"/>
      <c r="K391" s="16"/>
      <c r="L391" s="16"/>
      <c r="M391" s="16"/>
      <c r="N391" s="16"/>
      <c r="O391" s="16" t="str">
        <f>IF(ISNA(VLOOKUP(C391,'Auction Summary'!$P$3:$R$600,2,FALSE)),"",VLOOKUP(C391,'Auction Summary'!$P$3:$R$600,2,FALSE))</f>
        <v/>
      </c>
      <c r="P391" s="16"/>
      <c r="Q391" s="95" t="e">
        <f>VLOOKUP(C391,'Member Details (HOF Only)'!$A$2:$U$219,4,FALSE)</f>
        <v>#N/A</v>
      </c>
      <c r="R391" s="13"/>
      <c r="S391" s="95" t="e">
        <f>VLOOKUP(C391,'Member Details (HOF Only)'!$A$2:$U$219,7,FALSE)</f>
        <v>#N/A</v>
      </c>
      <c r="T391" s="11">
        <f t="shared" si="6"/>
        <v>0</v>
      </c>
    </row>
    <row r="392" spans="1:20" x14ac:dyDescent="0.2">
      <c r="A392" s="18"/>
      <c r="B392" s="85"/>
      <c r="C392" s="19"/>
      <c r="D392" s="31"/>
      <c r="E392" s="24"/>
      <c r="F392" s="16"/>
      <c r="G392" s="16"/>
      <c r="H392" s="16"/>
      <c r="I392" s="16"/>
      <c r="J392" s="20"/>
      <c r="K392" s="16"/>
      <c r="L392" s="16"/>
      <c r="M392" s="16"/>
      <c r="N392" s="16"/>
      <c r="O392" s="16" t="str">
        <f>IF(ISNA(VLOOKUP(C392,'Auction Summary'!$P$3:$R$600,2,FALSE)),"",VLOOKUP(C392,'Auction Summary'!$P$3:$R$600,2,FALSE))</f>
        <v/>
      </c>
      <c r="P392" s="16"/>
      <c r="Q392" s="95" t="e">
        <f>VLOOKUP(C392,'Member Details (HOF Only)'!$A$2:$U$219,4,FALSE)</f>
        <v>#N/A</v>
      </c>
      <c r="R392" s="13"/>
      <c r="S392" s="95" t="e">
        <f>VLOOKUP(C392,'Member Details (HOF Only)'!$A$2:$U$219,7,FALSE)</f>
        <v>#N/A</v>
      </c>
      <c r="T392" s="11">
        <f t="shared" si="6"/>
        <v>0</v>
      </c>
    </row>
    <row r="393" spans="1:20" x14ac:dyDescent="0.2">
      <c r="A393" s="18"/>
      <c r="B393" s="85"/>
      <c r="C393" s="19"/>
      <c r="D393" s="31"/>
      <c r="E393" s="24"/>
      <c r="F393" s="16"/>
      <c r="G393" s="16"/>
      <c r="H393" s="16"/>
      <c r="I393" s="16"/>
      <c r="J393" s="20"/>
      <c r="K393" s="16"/>
      <c r="L393" s="16"/>
      <c r="M393" s="16"/>
      <c r="N393" s="16"/>
      <c r="O393" s="16" t="str">
        <f>IF(ISNA(VLOOKUP(C393,'Auction Summary'!$P$3:$R$600,2,FALSE)),"",VLOOKUP(C393,'Auction Summary'!$P$3:$R$600,2,FALSE))</f>
        <v/>
      </c>
      <c r="P393" s="16"/>
      <c r="Q393" s="95" t="e">
        <f>VLOOKUP(C393,'Member Details (HOF Only)'!$A$2:$U$219,4,FALSE)</f>
        <v>#N/A</v>
      </c>
      <c r="R393" s="13"/>
      <c r="S393" s="95" t="e">
        <f>VLOOKUP(C393,'Member Details (HOF Only)'!$A$2:$U$219,7,FALSE)</f>
        <v>#N/A</v>
      </c>
      <c r="T393" s="11">
        <f t="shared" si="6"/>
        <v>0</v>
      </c>
    </row>
    <row r="394" spans="1:20" x14ac:dyDescent="0.2">
      <c r="A394" s="18"/>
      <c r="B394" s="85"/>
      <c r="C394" s="19"/>
      <c r="D394" s="31"/>
      <c r="E394" s="24"/>
      <c r="F394" s="16"/>
      <c r="G394" s="16"/>
      <c r="H394" s="16"/>
      <c r="I394" s="16"/>
      <c r="J394" s="20"/>
      <c r="K394" s="16"/>
      <c r="L394" s="16"/>
      <c r="M394" s="16"/>
      <c r="N394" s="16"/>
      <c r="O394" s="16" t="str">
        <f>IF(ISNA(VLOOKUP(C394,'Auction Summary'!$P$3:$R$600,2,FALSE)),"",VLOOKUP(C394,'Auction Summary'!$P$3:$R$600,2,FALSE))</f>
        <v/>
      </c>
      <c r="P394" s="16"/>
      <c r="Q394" s="95" t="e">
        <f>VLOOKUP(C394,'Member Details (HOF Only)'!$A$2:$U$219,4,FALSE)</f>
        <v>#N/A</v>
      </c>
      <c r="R394" s="13"/>
      <c r="S394" s="95" t="e">
        <f>VLOOKUP(C394,'Member Details (HOF Only)'!$A$2:$U$219,7,FALSE)</f>
        <v>#N/A</v>
      </c>
      <c r="T394" s="11">
        <f t="shared" si="6"/>
        <v>0</v>
      </c>
    </row>
    <row r="395" spans="1:20" x14ac:dyDescent="0.2">
      <c r="A395" s="18"/>
      <c r="B395" s="85"/>
      <c r="C395" s="19"/>
      <c r="D395" s="31"/>
      <c r="E395" s="24"/>
      <c r="F395" s="16"/>
      <c r="G395" s="16"/>
      <c r="H395" s="16"/>
      <c r="I395" s="16"/>
      <c r="J395" s="20"/>
      <c r="K395" s="16"/>
      <c r="L395" s="16"/>
      <c r="M395" s="16"/>
      <c r="N395" s="16"/>
      <c r="O395" s="16" t="str">
        <f>IF(ISNA(VLOOKUP(C395,'Auction Summary'!$P$3:$R$600,2,FALSE)),"",VLOOKUP(C395,'Auction Summary'!$P$3:$R$600,2,FALSE))</f>
        <v/>
      </c>
      <c r="P395" s="16"/>
      <c r="Q395" s="95" t="e">
        <f>VLOOKUP(C395,'Member Details (HOF Only)'!$A$2:$U$219,4,FALSE)</f>
        <v>#N/A</v>
      </c>
      <c r="R395" s="13"/>
      <c r="S395" s="95" t="e">
        <f>VLOOKUP(C395,'Member Details (HOF Only)'!$A$2:$U$219,7,FALSE)</f>
        <v>#N/A</v>
      </c>
      <c r="T395" s="11">
        <f t="shared" si="6"/>
        <v>0</v>
      </c>
    </row>
    <row r="396" spans="1:20" x14ac:dyDescent="0.2">
      <c r="A396" s="18"/>
      <c r="B396" s="85"/>
      <c r="C396" s="19"/>
      <c r="D396" s="31"/>
      <c r="E396" s="24"/>
      <c r="F396" s="16"/>
      <c r="G396" s="16"/>
      <c r="H396" s="16"/>
      <c r="I396" s="16"/>
      <c r="J396" s="20"/>
      <c r="K396" s="16"/>
      <c r="L396" s="16"/>
      <c r="M396" s="16"/>
      <c r="N396" s="16"/>
      <c r="O396" s="16" t="str">
        <f>IF(ISNA(VLOOKUP(C396,'Auction Summary'!$P$3:$R$600,2,FALSE)),"",VLOOKUP(C396,'Auction Summary'!$P$3:$R$600,2,FALSE))</f>
        <v/>
      </c>
      <c r="P396" s="16"/>
      <c r="Q396" s="95" t="e">
        <f>VLOOKUP(C396,'Member Details (HOF Only)'!$A$2:$U$219,4,FALSE)</f>
        <v>#N/A</v>
      </c>
      <c r="R396" s="13"/>
      <c r="S396" s="95" t="e">
        <f>VLOOKUP(C396,'Member Details (HOF Only)'!$A$2:$U$219,7,FALSE)</f>
        <v>#N/A</v>
      </c>
      <c r="T396" s="11">
        <f t="shared" si="6"/>
        <v>0</v>
      </c>
    </row>
    <row r="397" spans="1:20" x14ac:dyDescent="0.2">
      <c r="A397" s="18"/>
      <c r="B397" s="85"/>
      <c r="C397" s="19"/>
      <c r="D397" s="31"/>
      <c r="E397" s="24"/>
      <c r="F397" s="16"/>
      <c r="G397" s="16"/>
      <c r="H397" s="16"/>
      <c r="I397" s="16"/>
      <c r="J397" s="20"/>
      <c r="K397" s="16"/>
      <c r="L397" s="16"/>
      <c r="M397" s="16"/>
      <c r="N397" s="16"/>
      <c r="O397" s="16" t="str">
        <f>IF(ISNA(VLOOKUP(C397,'Auction Summary'!$P$3:$R$600,2,FALSE)),"",VLOOKUP(C397,'Auction Summary'!$P$3:$R$600,2,FALSE))</f>
        <v/>
      </c>
      <c r="P397" s="16"/>
      <c r="Q397" s="95" t="e">
        <f>VLOOKUP(C397,'Member Details (HOF Only)'!$A$2:$U$219,4,FALSE)</f>
        <v>#N/A</v>
      </c>
      <c r="R397" s="13"/>
      <c r="S397" s="95" t="e">
        <f>VLOOKUP(C397,'Member Details (HOF Only)'!$A$2:$U$219,7,FALSE)</f>
        <v>#N/A</v>
      </c>
      <c r="T397" s="11">
        <f t="shared" si="6"/>
        <v>0</v>
      </c>
    </row>
    <row r="398" spans="1:20" x14ac:dyDescent="0.2">
      <c r="A398" s="18"/>
      <c r="B398" s="85"/>
      <c r="C398" s="19"/>
      <c r="D398" s="31"/>
      <c r="E398" s="24"/>
      <c r="F398" s="16"/>
      <c r="G398" s="16"/>
      <c r="H398" s="16"/>
      <c r="I398" s="16"/>
      <c r="J398" s="20"/>
      <c r="K398" s="16"/>
      <c r="L398" s="16"/>
      <c r="M398" s="16"/>
      <c r="N398" s="16"/>
      <c r="O398" s="16" t="str">
        <f>IF(ISNA(VLOOKUP(C398,'Auction Summary'!$P$3:$R$600,2,FALSE)),"",VLOOKUP(C398,'Auction Summary'!$P$3:$R$600,2,FALSE))</f>
        <v/>
      </c>
      <c r="P398" s="16"/>
      <c r="Q398" s="95" t="e">
        <f>VLOOKUP(C398,'Member Details (HOF Only)'!$A$2:$U$219,4,FALSE)</f>
        <v>#N/A</v>
      </c>
      <c r="R398" s="13"/>
      <c r="S398" s="95" t="e">
        <f>VLOOKUP(C398,'Member Details (HOF Only)'!$A$2:$U$219,7,FALSE)</f>
        <v>#N/A</v>
      </c>
      <c r="T398" s="11">
        <f t="shared" si="6"/>
        <v>0</v>
      </c>
    </row>
    <row r="399" spans="1:20" x14ac:dyDescent="0.2">
      <c r="A399" s="18"/>
      <c r="B399" s="85"/>
      <c r="C399" s="19"/>
      <c r="D399" s="31"/>
      <c r="E399" s="24"/>
      <c r="F399" s="16"/>
      <c r="G399" s="16"/>
      <c r="H399" s="16"/>
      <c r="I399" s="16"/>
      <c r="J399" s="20"/>
      <c r="K399" s="16"/>
      <c r="L399" s="16"/>
      <c r="M399" s="16"/>
      <c r="N399" s="16"/>
      <c r="O399" s="16" t="str">
        <f>IF(ISNA(VLOOKUP(C399,'Auction Summary'!$P$3:$R$600,2,FALSE)),"",VLOOKUP(C399,'Auction Summary'!$P$3:$R$600,2,FALSE))</f>
        <v/>
      </c>
      <c r="P399" s="16"/>
      <c r="Q399" s="95" t="e">
        <f>VLOOKUP(C399,'Member Details (HOF Only)'!$A$2:$U$219,4,FALSE)</f>
        <v>#N/A</v>
      </c>
      <c r="R399" s="13"/>
      <c r="S399" s="95" t="e">
        <f>VLOOKUP(C399,'Member Details (HOF Only)'!$A$2:$U$219,7,FALSE)</f>
        <v>#N/A</v>
      </c>
      <c r="T399" s="11">
        <f t="shared" si="6"/>
        <v>0</v>
      </c>
    </row>
    <row r="400" spans="1:20" x14ac:dyDescent="0.2">
      <c r="A400" s="18"/>
      <c r="B400" s="85"/>
      <c r="C400" s="19"/>
      <c r="D400" s="31"/>
      <c r="E400" s="24"/>
      <c r="F400" s="16"/>
      <c r="G400" s="16"/>
      <c r="H400" s="16"/>
      <c r="I400" s="16"/>
      <c r="J400" s="20"/>
      <c r="K400" s="16"/>
      <c r="L400" s="16"/>
      <c r="M400" s="16"/>
      <c r="N400" s="16"/>
      <c r="O400" s="16" t="str">
        <f>IF(ISNA(VLOOKUP(C400,'Auction Summary'!$P$3:$R$600,2,FALSE)),"",VLOOKUP(C400,'Auction Summary'!$P$3:$R$600,2,FALSE))</f>
        <v/>
      </c>
      <c r="P400" s="16"/>
      <c r="Q400" s="95" t="e">
        <f>VLOOKUP(C400,'Member Details (HOF Only)'!$A$2:$U$219,4,FALSE)</f>
        <v>#N/A</v>
      </c>
      <c r="R400" s="13"/>
      <c r="S400" s="95" t="e">
        <f>VLOOKUP(C400,'Member Details (HOF Only)'!$A$2:$U$219,7,FALSE)</f>
        <v>#N/A</v>
      </c>
      <c r="T400" s="11">
        <f t="shared" si="6"/>
        <v>0</v>
      </c>
    </row>
    <row r="401" spans="1:20" x14ac:dyDescent="0.2">
      <c r="A401" s="18"/>
      <c r="B401" s="85"/>
      <c r="C401" s="19"/>
      <c r="D401" s="31"/>
      <c r="E401" s="24"/>
      <c r="F401" s="16"/>
      <c r="G401" s="16"/>
      <c r="H401" s="16"/>
      <c r="I401" s="16"/>
      <c r="J401" s="20"/>
      <c r="K401" s="16"/>
      <c r="L401" s="16"/>
      <c r="M401" s="16"/>
      <c r="N401" s="16"/>
      <c r="O401" s="16" t="str">
        <f>IF(ISNA(VLOOKUP(C401,'Auction Summary'!$P$3:$R$600,2,FALSE)),"",VLOOKUP(C401,'Auction Summary'!$P$3:$R$600,2,FALSE))</f>
        <v/>
      </c>
      <c r="P401" s="16"/>
      <c r="Q401" s="95" t="e">
        <f>VLOOKUP(C401,'Member Details (HOF Only)'!$A$2:$U$219,4,FALSE)</f>
        <v>#N/A</v>
      </c>
      <c r="R401" s="13"/>
      <c r="S401" s="95" t="e">
        <f>VLOOKUP(C401,'Member Details (HOF Only)'!$A$2:$U$219,7,FALSE)</f>
        <v>#N/A</v>
      </c>
      <c r="T401" s="11">
        <f t="shared" si="6"/>
        <v>0</v>
      </c>
    </row>
    <row r="402" spans="1:20" x14ac:dyDescent="0.2">
      <c r="A402" s="18"/>
      <c r="B402" s="85"/>
      <c r="C402" s="19"/>
      <c r="D402" s="31"/>
      <c r="E402" s="24"/>
      <c r="F402" s="16"/>
      <c r="G402" s="16"/>
      <c r="H402" s="16"/>
      <c r="I402" s="16"/>
      <c r="J402" s="20"/>
      <c r="K402" s="16"/>
      <c r="L402" s="16"/>
      <c r="M402" s="16"/>
      <c r="N402" s="16"/>
      <c r="O402" s="16" t="str">
        <f>IF(ISNA(VLOOKUP(C402,'Auction Summary'!$P$3:$R$600,2,FALSE)),"",VLOOKUP(C402,'Auction Summary'!$P$3:$R$600,2,FALSE))</f>
        <v/>
      </c>
      <c r="P402" s="16"/>
      <c r="Q402" s="95" t="e">
        <f>VLOOKUP(C402,'Member Details (HOF Only)'!$A$2:$U$219,4,FALSE)</f>
        <v>#N/A</v>
      </c>
      <c r="R402" s="13"/>
      <c r="S402" s="95" t="e">
        <f>VLOOKUP(C402,'Member Details (HOF Only)'!$A$2:$U$219,7,FALSE)</f>
        <v>#N/A</v>
      </c>
      <c r="T402" s="11">
        <f t="shared" si="6"/>
        <v>0</v>
      </c>
    </row>
    <row r="403" spans="1:20" x14ac:dyDescent="0.2">
      <c r="A403" s="18"/>
      <c r="B403" s="85"/>
      <c r="C403" s="19"/>
      <c r="D403" s="31"/>
      <c r="E403" s="24"/>
      <c r="F403" s="16"/>
      <c r="G403" s="16"/>
      <c r="H403" s="16"/>
      <c r="I403" s="16"/>
      <c r="J403" s="20"/>
      <c r="K403" s="16"/>
      <c r="L403" s="16"/>
      <c r="M403" s="16"/>
      <c r="N403" s="16"/>
      <c r="O403" s="16" t="str">
        <f>IF(ISNA(VLOOKUP(C403,'Auction Summary'!$P$3:$R$600,2,FALSE)),"",VLOOKUP(C403,'Auction Summary'!$P$3:$R$600,2,FALSE))</f>
        <v/>
      </c>
      <c r="P403" s="16"/>
      <c r="Q403" s="95" t="e">
        <f>VLOOKUP(C403,'Member Details (HOF Only)'!$A$2:$U$219,4,FALSE)</f>
        <v>#N/A</v>
      </c>
      <c r="R403" s="13"/>
      <c r="S403" s="95" t="e">
        <f>VLOOKUP(C403,'Member Details (HOF Only)'!$A$2:$U$219,7,FALSE)</f>
        <v>#N/A</v>
      </c>
      <c r="T403" s="11">
        <f t="shared" si="6"/>
        <v>0</v>
      </c>
    </row>
    <row r="404" spans="1:20" x14ac:dyDescent="0.2">
      <c r="A404" s="18"/>
      <c r="B404" s="85"/>
      <c r="C404" s="19"/>
      <c r="D404" s="31"/>
      <c r="E404" s="24"/>
      <c r="F404" s="16"/>
      <c r="G404" s="16"/>
      <c r="H404" s="16"/>
      <c r="I404" s="16"/>
      <c r="J404" s="20"/>
      <c r="K404" s="16"/>
      <c r="L404" s="16"/>
      <c r="M404" s="16"/>
      <c r="N404" s="16"/>
      <c r="O404" s="16" t="str">
        <f>IF(ISNA(VLOOKUP(C404,'Auction Summary'!$P$3:$R$600,2,FALSE)),"",VLOOKUP(C404,'Auction Summary'!$P$3:$R$600,2,FALSE))</f>
        <v/>
      </c>
      <c r="P404" s="16"/>
      <c r="Q404" s="95" t="e">
        <f>VLOOKUP(C404,'Member Details (HOF Only)'!$A$2:$U$219,4,FALSE)</f>
        <v>#N/A</v>
      </c>
      <c r="R404" s="13"/>
      <c r="S404" s="95" t="e">
        <f>VLOOKUP(C404,'Member Details (HOF Only)'!$A$2:$U$219,7,FALSE)</f>
        <v>#N/A</v>
      </c>
      <c r="T404" s="11">
        <f t="shared" si="6"/>
        <v>0</v>
      </c>
    </row>
    <row r="405" spans="1:20" x14ac:dyDescent="0.2">
      <c r="A405" s="18"/>
      <c r="B405" s="85"/>
      <c r="C405" s="19"/>
      <c r="D405" s="31"/>
      <c r="E405" s="24"/>
      <c r="F405" s="16"/>
      <c r="G405" s="16"/>
      <c r="H405" s="16"/>
      <c r="I405" s="16"/>
      <c r="J405" s="20"/>
      <c r="K405" s="16"/>
      <c r="L405" s="16"/>
      <c r="M405" s="16"/>
      <c r="N405" s="16"/>
      <c r="O405" s="16" t="str">
        <f>IF(ISNA(VLOOKUP(C405,'Auction Summary'!$P$3:$R$600,2,FALSE)),"",VLOOKUP(C405,'Auction Summary'!$P$3:$R$600,2,FALSE))</f>
        <v/>
      </c>
      <c r="P405" s="16"/>
      <c r="Q405" s="95" t="e">
        <f>VLOOKUP(C405,'Member Details (HOF Only)'!$A$2:$U$219,4,FALSE)</f>
        <v>#N/A</v>
      </c>
      <c r="R405" s="13"/>
      <c r="S405" s="95" t="e">
        <f>VLOOKUP(C405,'Member Details (HOF Only)'!$A$2:$U$219,7,FALSE)</f>
        <v>#N/A</v>
      </c>
      <c r="T405" s="11">
        <f t="shared" si="6"/>
        <v>0</v>
      </c>
    </row>
    <row r="406" spans="1:20" x14ac:dyDescent="0.2">
      <c r="A406" s="18"/>
      <c r="B406" s="85"/>
      <c r="C406" s="19"/>
      <c r="D406" s="31"/>
      <c r="E406" s="24"/>
      <c r="F406" s="16"/>
      <c r="G406" s="16"/>
      <c r="H406" s="16"/>
      <c r="I406" s="16"/>
      <c r="J406" s="20"/>
      <c r="K406" s="16"/>
      <c r="L406" s="16"/>
      <c r="M406" s="16"/>
      <c r="N406" s="16"/>
      <c r="O406" s="16" t="str">
        <f>IF(ISNA(VLOOKUP(C406,'Auction Summary'!$P$3:$R$600,2,FALSE)),"",VLOOKUP(C406,'Auction Summary'!$P$3:$R$600,2,FALSE))</f>
        <v/>
      </c>
      <c r="P406" s="16"/>
      <c r="Q406" s="95" t="e">
        <f>VLOOKUP(C406,'Member Details (HOF Only)'!$A$2:$U$219,4,FALSE)</f>
        <v>#N/A</v>
      </c>
      <c r="R406" s="13"/>
      <c r="S406" s="95" t="e">
        <f>VLOOKUP(C406,'Member Details (HOF Only)'!$A$2:$U$219,7,FALSE)</f>
        <v>#N/A</v>
      </c>
      <c r="T406" s="11">
        <f t="shared" si="6"/>
        <v>0</v>
      </c>
    </row>
    <row r="407" spans="1:20" x14ac:dyDescent="0.2">
      <c r="A407" s="18"/>
      <c r="B407" s="85"/>
      <c r="C407" s="19"/>
      <c r="D407" s="31"/>
      <c r="E407" s="24"/>
      <c r="F407" s="16"/>
      <c r="G407" s="16"/>
      <c r="H407" s="16"/>
      <c r="I407" s="16"/>
      <c r="J407" s="20"/>
      <c r="K407" s="16"/>
      <c r="L407" s="16"/>
      <c r="M407" s="16"/>
      <c r="N407" s="16"/>
      <c r="O407" s="16" t="str">
        <f>IF(ISNA(VLOOKUP(C407,'Auction Summary'!$P$3:$R$600,2,FALSE)),"",VLOOKUP(C407,'Auction Summary'!$P$3:$R$600,2,FALSE))</f>
        <v/>
      </c>
      <c r="P407" s="16"/>
      <c r="Q407" s="95" t="e">
        <f>VLOOKUP(C407,'Member Details (HOF Only)'!$A$2:$U$219,4,FALSE)</f>
        <v>#N/A</v>
      </c>
      <c r="R407" s="13"/>
      <c r="S407" s="95" t="e">
        <f>VLOOKUP(C407,'Member Details (HOF Only)'!$A$2:$U$219,7,FALSE)</f>
        <v>#N/A</v>
      </c>
      <c r="T407" s="11">
        <f t="shared" si="6"/>
        <v>0</v>
      </c>
    </row>
    <row r="408" spans="1:20" x14ac:dyDescent="0.2">
      <c r="A408" s="18"/>
      <c r="B408" s="85"/>
      <c r="C408" s="19"/>
      <c r="D408" s="31"/>
      <c r="E408" s="24"/>
      <c r="F408" s="16"/>
      <c r="G408" s="16"/>
      <c r="H408" s="16"/>
      <c r="I408" s="16"/>
      <c r="J408" s="20"/>
      <c r="K408" s="16"/>
      <c r="L408" s="16"/>
      <c r="M408" s="16"/>
      <c r="N408" s="16"/>
      <c r="O408" s="16" t="str">
        <f>IF(ISNA(VLOOKUP(C408,'Auction Summary'!$P$3:$R$600,2,FALSE)),"",VLOOKUP(C408,'Auction Summary'!$P$3:$R$600,2,FALSE))</f>
        <v/>
      </c>
      <c r="P408" s="16"/>
      <c r="Q408" s="95" t="e">
        <f>VLOOKUP(C408,'Member Details (HOF Only)'!$A$2:$U$219,4,FALSE)</f>
        <v>#N/A</v>
      </c>
      <c r="R408" s="13"/>
      <c r="S408" s="95" t="e">
        <f>VLOOKUP(C408,'Member Details (HOF Only)'!$A$2:$U$219,7,FALSE)</f>
        <v>#N/A</v>
      </c>
      <c r="T408" s="11">
        <f t="shared" si="6"/>
        <v>0</v>
      </c>
    </row>
    <row r="409" spans="1:20" x14ac:dyDescent="0.2">
      <c r="A409" s="18"/>
      <c r="B409" s="85"/>
      <c r="C409" s="19"/>
      <c r="D409" s="31"/>
      <c r="E409" s="24"/>
      <c r="F409" s="16"/>
      <c r="G409" s="16"/>
      <c r="H409" s="16"/>
      <c r="I409" s="16"/>
      <c r="J409" s="20"/>
      <c r="K409" s="16"/>
      <c r="L409" s="16"/>
      <c r="M409" s="16"/>
      <c r="N409" s="16"/>
      <c r="O409" s="16" t="str">
        <f>IF(ISNA(VLOOKUP(C409,'Auction Summary'!$P$3:$R$600,2,FALSE)),"",VLOOKUP(C409,'Auction Summary'!$P$3:$R$600,2,FALSE))</f>
        <v/>
      </c>
      <c r="P409" s="16"/>
      <c r="Q409" s="95" t="e">
        <f>VLOOKUP(C409,'Member Details (HOF Only)'!$A$2:$U$219,4,FALSE)</f>
        <v>#N/A</v>
      </c>
      <c r="R409" s="13"/>
      <c r="S409" s="95" t="e">
        <f>VLOOKUP(C409,'Member Details (HOF Only)'!$A$2:$U$219,7,FALSE)</f>
        <v>#N/A</v>
      </c>
      <c r="T409" s="11">
        <f t="shared" si="6"/>
        <v>0</v>
      </c>
    </row>
    <row r="410" spans="1:20" x14ac:dyDescent="0.2">
      <c r="A410" s="18"/>
      <c r="B410" s="85"/>
      <c r="C410" s="19"/>
      <c r="D410" s="31"/>
      <c r="E410" s="24"/>
      <c r="F410" s="16"/>
      <c r="G410" s="16"/>
      <c r="H410" s="16"/>
      <c r="I410" s="16"/>
      <c r="J410" s="20"/>
      <c r="K410" s="16"/>
      <c r="L410" s="16"/>
      <c r="M410" s="16"/>
      <c r="N410" s="16"/>
      <c r="O410" s="16" t="str">
        <f>IF(ISNA(VLOOKUP(C410,'Auction Summary'!$P$3:$R$600,2,FALSE)),"",VLOOKUP(C410,'Auction Summary'!$P$3:$R$600,2,FALSE))</f>
        <v/>
      </c>
      <c r="P410" s="16"/>
      <c r="Q410" s="95" t="e">
        <f>VLOOKUP(C410,'Member Details (HOF Only)'!$A$2:$U$219,4,FALSE)</f>
        <v>#N/A</v>
      </c>
      <c r="R410" s="13"/>
      <c r="S410" s="95" t="e">
        <f>VLOOKUP(C410,'Member Details (HOF Only)'!$A$2:$U$219,7,FALSE)</f>
        <v>#N/A</v>
      </c>
      <c r="T410" s="11">
        <f t="shared" si="6"/>
        <v>0</v>
      </c>
    </row>
    <row r="411" spans="1:20" x14ac:dyDescent="0.2">
      <c r="A411" s="18"/>
      <c r="B411" s="85"/>
      <c r="C411" s="19"/>
      <c r="D411" s="31"/>
      <c r="E411" s="24"/>
      <c r="F411" s="16"/>
      <c r="G411" s="16"/>
      <c r="H411" s="16"/>
      <c r="I411" s="16"/>
      <c r="J411" s="20"/>
      <c r="K411" s="16"/>
      <c r="L411" s="16"/>
      <c r="M411" s="16"/>
      <c r="N411" s="16"/>
      <c r="O411" s="16" t="str">
        <f>IF(ISNA(VLOOKUP(C411,'Auction Summary'!$P$3:$R$600,2,FALSE)),"",VLOOKUP(C411,'Auction Summary'!$P$3:$R$600,2,FALSE))</f>
        <v/>
      </c>
      <c r="P411" s="16"/>
      <c r="Q411" s="95" t="e">
        <f>VLOOKUP(C411,'Member Details (HOF Only)'!$A$2:$U$219,4,FALSE)</f>
        <v>#N/A</v>
      </c>
      <c r="R411" s="13"/>
      <c r="S411" s="95" t="e">
        <f>VLOOKUP(C411,'Member Details (HOF Only)'!$A$2:$U$219,7,FALSE)</f>
        <v>#N/A</v>
      </c>
      <c r="T411" s="11">
        <f t="shared" si="6"/>
        <v>0</v>
      </c>
    </row>
    <row r="412" spans="1:20" x14ac:dyDescent="0.2">
      <c r="A412" s="18"/>
      <c r="B412" s="85"/>
      <c r="C412" s="19"/>
      <c r="D412" s="31"/>
      <c r="E412" s="24"/>
      <c r="F412" s="16"/>
      <c r="G412" s="16"/>
      <c r="H412" s="16"/>
      <c r="I412" s="16"/>
      <c r="J412" s="20"/>
      <c r="K412" s="16"/>
      <c r="L412" s="16"/>
      <c r="M412" s="16"/>
      <c r="N412" s="16"/>
      <c r="O412" s="16" t="str">
        <f>IF(ISNA(VLOOKUP(C412,'Auction Summary'!$P$3:$R$600,2,FALSE)),"",VLOOKUP(C412,'Auction Summary'!$P$3:$R$600,2,FALSE))</f>
        <v/>
      </c>
      <c r="P412" s="16"/>
      <c r="Q412" s="95" t="e">
        <f>VLOOKUP(C412,'Member Details (HOF Only)'!$A$2:$U$219,4,FALSE)</f>
        <v>#N/A</v>
      </c>
      <c r="R412" s="13"/>
      <c r="S412" s="95" t="e">
        <f>VLOOKUP(C412,'Member Details (HOF Only)'!$A$2:$U$219,7,FALSE)</f>
        <v>#N/A</v>
      </c>
      <c r="T412" s="11">
        <f t="shared" si="6"/>
        <v>0</v>
      </c>
    </row>
    <row r="413" spans="1:20" x14ac:dyDescent="0.2">
      <c r="A413" s="18"/>
      <c r="B413" s="85"/>
      <c r="C413" s="19"/>
      <c r="D413" s="31"/>
      <c r="E413" s="24"/>
      <c r="F413" s="16"/>
      <c r="G413" s="16"/>
      <c r="H413" s="16"/>
      <c r="I413" s="16"/>
      <c r="J413" s="20"/>
      <c r="K413" s="16"/>
      <c r="L413" s="16"/>
      <c r="M413" s="16"/>
      <c r="N413" s="16"/>
      <c r="O413" s="16" t="str">
        <f>IF(ISNA(VLOOKUP(C413,'Auction Summary'!$P$3:$R$600,2,FALSE)),"",VLOOKUP(C413,'Auction Summary'!$P$3:$R$600,2,FALSE))</f>
        <v/>
      </c>
      <c r="P413" s="16"/>
      <c r="Q413" s="95" t="e">
        <f>VLOOKUP(C413,'Member Details (HOF Only)'!$A$2:$U$219,4,FALSE)</f>
        <v>#N/A</v>
      </c>
      <c r="R413" s="13"/>
      <c r="S413" s="95" t="e">
        <f>VLOOKUP(C413,'Member Details (HOF Only)'!$A$2:$U$219,7,FALSE)</f>
        <v>#N/A</v>
      </c>
      <c r="T413" s="11">
        <f t="shared" si="6"/>
        <v>0</v>
      </c>
    </row>
    <row r="414" spans="1:20" x14ac:dyDescent="0.2">
      <c r="A414" s="18"/>
      <c r="B414" s="85"/>
      <c r="C414" s="19"/>
      <c r="D414" s="31"/>
      <c r="E414" s="24"/>
      <c r="F414" s="16"/>
      <c r="G414" s="16"/>
      <c r="H414" s="16"/>
      <c r="I414" s="16"/>
      <c r="J414" s="20"/>
      <c r="K414" s="16"/>
      <c r="L414" s="16"/>
      <c r="M414" s="16"/>
      <c r="N414" s="16"/>
      <c r="O414" s="16" t="str">
        <f>IF(ISNA(VLOOKUP(C414,'Auction Summary'!$P$3:$R$600,2,FALSE)),"",VLOOKUP(C414,'Auction Summary'!$P$3:$R$600,2,FALSE))</f>
        <v/>
      </c>
      <c r="P414" s="16"/>
      <c r="Q414" s="95" t="e">
        <f>VLOOKUP(C414,'Member Details (HOF Only)'!$A$2:$U$219,4,FALSE)</f>
        <v>#N/A</v>
      </c>
      <c r="R414" s="13"/>
      <c r="S414" s="95" t="e">
        <f>VLOOKUP(C414,'Member Details (HOF Only)'!$A$2:$U$219,7,FALSE)</f>
        <v>#N/A</v>
      </c>
      <c r="T414" s="11">
        <f t="shared" si="6"/>
        <v>0</v>
      </c>
    </row>
    <row r="415" spans="1:20" x14ac:dyDescent="0.2">
      <c r="A415" s="18"/>
      <c r="B415" s="85"/>
      <c r="C415" s="19"/>
      <c r="D415" s="31"/>
      <c r="E415" s="24"/>
      <c r="F415" s="16"/>
      <c r="G415" s="16"/>
      <c r="H415" s="16"/>
      <c r="I415" s="16"/>
      <c r="J415" s="20"/>
      <c r="K415" s="16"/>
      <c r="L415" s="16"/>
      <c r="M415" s="16"/>
      <c r="N415" s="16"/>
      <c r="O415" s="16" t="str">
        <f>IF(ISNA(VLOOKUP(C415,'Auction Summary'!$P$3:$R$600,2,FALSE)),"",VLOOKUP(C415,'Auction Summary'!$P$3:$R$600,2,FALSE))</f>
        <v/>
      </c>
      <c r="P415" s="16"/>
      <c r="Q415" s="95" t="e">
        <f>VLOOKUP(C415,'Member Details (HOF Only)'!$A$2:$U$219,4,FALSE)</f>
        <v>#N/A</v>
      </c>
      <c r="R415" s="13"/>
      <c r="S415" s="95" t="e">
        <f>VLOOKUP(C415,'Member Details (HOF Only)'!$A$2:$U$219,7,FALSE)</f>
        <v>#N/A</v>
      </c>
      <c r="T415" s="11">
        <f t="shared" si="6"/>
        <v>0</v>
      </c>
    </row>
    <row r="416" spans="1:20" x14ac:dyDescent="0.2">
      <c r="A416" s="18"/>
      <c r="B416" s="85"/>
      <c r="C416" s="19"/>
      <c r="D416" s="31"/>
      <c r="E416" s="24"/>
      <c r="F416" s="16"/>
      <c r="G416" s="16"/>
      <c r="H416" s="16"/>
      <c r="I416" s="16"/>
      <c r="J416" s="20"/>
      <c r="K416" s="16"/>
      <c r="L416" s="16"/>
      <c r="M416" s="16"/>
      <c r="N416" s="16"/>
      <c r="O416" s="16" t="str">
        <f>IF(ISNA(VLOOKUP(C416,'Auction Summary'!$P$3:$R$600,2,FALSE)),"",VLOOKUP(C416,'Auction Summary'!$P$3:$R$600,2,FALSE))</f>
        <v/>
      </c>
      <c r="P416" s="16"/>
      <c r="Q416" s="95" t="e">
        <f>VLOOKUP(C416,'Member Details (HOF Only)'!$A$2:$U$219,4,FALSE)</f>
        <v>#N/A</v>
      </c>
      <c r="R416" s="13"/>
      <c r="S416" s="95" t="e">
        <f>VLOOKUP(C416,'Member Details (HOF Only)'!$A$2:$U$219,7,FALSE)</f>
        <v>#N/A</v>
      </c>
      <c r="T416" s="11">
        <f t="shared" si="6"/>
        <v>0</v>
      </c>
    </row>
    <row r="417" spans="1:20" x14ac:dyDescent="0.2">
      <c r="A417" s="18"/>
      <c r="B417" s="85"/>
      <c r="C417" s="19"/>
      <c r="D417" s="31"/>
      <c r="E417" s="24"/>
      <c r="F417" s="16"/>
      <c r="G417" s="16"/>
      <c r="H417" s="16"/>
      <c r="I417" s="16"/>
      <c r="J417" s="20"/>
      <c r="K417" s="16"/>
      <c r="L417" s="16"/>
      <c r="M417" s="16"/>
      <c r="N417" s="16"/>
      <c r="O417" s="16" t="str">
        <f>IF(ISNA(VLOOKUP(C417,'Auction Summary'!$P$3:$R$600,2,FALSE)),"",VLOOKUP(C417,'Auction Summary'!$P$3:$R$600,2,FALSE))</f>
        <v/>
      </c>
      <c r="P417" s="16"/>
      <c r="Q417" s="95" t="e">
        <f>VLOOKUP(C417,'Member Details (HOF Only)'!$A$2:$U$219,4,FALSE)</f>
        <v>#N/A</v>
      </c>
      <c r="R417" s="13"/>
      <c r="S417" s="95" t="e">
        <f>VLOOKUP(C417,'Member Details (HOF Only)'!$A$2:$U$219,7,FALSE)</f>
        <v>#N/A</v>
      </c>
      <c r="T417" s="11">
        <f t="shared" si="6"/>
        <v>0</v>
      </c>
    </row>
    <row r="418" spans="1:20" x14ac:dyDescent="0.2">
      <c r="A418" s="18"/>
      <c r="B418" s="85"/>
      <c r="C418" s="19"/>
      <c r="D418" s="31"/>
      <c r="E418" s="24"/>
      <c r="F418" s="16"/>
      <c r="G418" s="16"/>
      <c r="H418" s="16"/>
      <c r="I418" s="16"/>
      <c r="J418" s="20"/>
      <c r="K418" s="16"/>
      <c r="L418" s="16"/>
      <c r="M418" s="16"/>
      <c r="N418" s="16"/>
      <c r="O418" s="16" t="str">
        <f>IF(ISNA(VLOOKUP(C418,'Auction Summary'!$P$3:$R$600,2,FALSE)),"",VLOOKUP(C418,'Auction Summary'!$P$3:$R$600,2,FALSE))</f>
        <v/>
      </c>
      <c r="P418" s="16"/>
      <c r="Q418" s="95" t="e">
        <f>VLOOKUP(C418,'Member Details (HOF Only)'!$A$2:$U$219,4,FALSE)</f>
        <v>#N/A</v>
      </c>
      <c r="R418" s="13"/>
      <c r="S418" s="95" t="e">
        <f>VLOOKUP(C418,'Member Details (HOF Only)'!$A$2:$U$219,7,FALSE)</f>
        <v>#N/A</v>
      </c>
      <c r="T418" s="11">
        <f t="shared" si="6"/>
        <v>0</v>
      </c>
    </row>
    <row r="419" spans="1:20" x14ac:dyDescent="0.2">
      <c r="A419" s="18"/>
      <c r="B419" s="85"/>
      <c r="C419" s="19"/>
      <c r="D419" s="31"/>
      <c r="E419" s="24"/>
      <c r="F419" s="16"/>
      <c r="G419" s="16"/>
      <c r="H419" s="16"/>
      <c r="I419" s="16"/>
      <c r="J419" s="20"/>
      <c r="K419" s="16"/>
      <c r="L419" s="16"/>
      <c r="M419" s="16"/>
      <c r="N419" s="16"/>
      <c r="O419" s="16" t="str">
        <f>IF(ISNA(VLOOKUP(C419,'Auction Summary'!$P$3:$R$600,2,FALSE)),"",VLOOKUP(C419,'Auction Summary'!$P$3:$R$600,2,FALSE))</f>
        <v/>
      </c>
      <c r="P419" s="16"/>
      <c r="Q419" s="95" t="e">
        <f>VLOOKUP(C419,'Member Details (HOF Only)'!$A$2:$U$219,4,FALSE)</f>
        <v>#N/A</v>
      </c>
      <c r="R419" s="13"/>
      <c r="S419" s="95" t="e">
        <f>VLOOKUP(C419,'Member Details (HOF Only)'!$A$2:$U$219,7,FALSE)</f>
        <v>#N/A</v>
      </c>
      <c r="T419" s="11">
        <f t="shared" si="6"/>
        <v>0</v>
      </c>
    </row>
    <row r="420" spans="1:20" x14ac:dyDescent="0.2">
      <c r="A420" s="18"/>
      <c r="B420" s="85"/>
      <c r="C420" s="19"/>
      <c r="D420" s="31"/>
      <c r="E420" s="24"/>
      <c r="F420" s="16"/>
      <c r="G420" s="16"/>
      <c r="H420" s="16"/>
      <c r="I420" s="16"/>
      <c r="J420" s="20"/>
      <c r="K420" s="16"/>
      <c r="L420" s="16"/>
      <c r="M420" s="16"/>
      <c r="N420" s="16"/>
      <c r="O420" s="16" t="str">
        <f>IF(ISNA(VLOOKUP(C420,'Auction Summary'!$P$3:$R$600,2,FALSE)),"",VLOOKUP(C420,'Auction Summary'!$P$3:$R$600,2,FALSE))</f>
        <v/>
      </c>
      <c r="P420" s="16"/>
      <c r="Q420" s="95" t="e">
        <f>VLOOKUP(C420,'Member Details (HOF Only)'!$A$2:$U$219,4,FALSE)</f>
        <v>#N/A</v>
      </c>
      <c r="R420" s="13"/>
      <c r="S420" s="95" t="e">
        <f>VLOOKUP(C420,'Member Details (HOF Only)'!$A$2:$U$219,7,FALSE)</f>
        <v>#N/A</v>
      </c>
      <c r="T420" s="11">
        <f t="shared" si="6"/>
        <v>0</v>
      </c>
    </row>
    <row r="421" spans="1:20" x14ac:dyDescent="0.2">
      <c r="A421" s="18"/>
      <c r="B421" s="85"/>
      <c r="C421" s="19"/>
      <c r="D421" s="31"/>
      <c r="E421" s="24"/>
      <c r="F421" s="16"/>
      <c r="G421" s="16"/>
      <c r="H421" s="16"/>
      <c r="I421" s="16"/>
      <c r="J421" s="20"/>
      <c r="K421" s="16"/>
      <c r="L421" s="16"/>
      <c r="M421" s="16"/>
      <c r="N421" s="16"/>
      <c r="O421" s="16" t="str">
        <f>IF(ISNA(VLOOKUP(C421,'Auction Summary'!$P$3:$R$600,2,FALSE)),"",VLOOKUP(C421,'Auction Summary'!$P$3:$R$600,2,FALSE))</f>
        <v/>
      </c>
      <c r="P421" s="16"/>
      <c r="Q421" s="95" t="e">
        <f>VLOOKUP(C421,'Member Details (HOF Only)'!$A$2:$U$219,4,FALSE)</f>
        <v>#N/A</v>
      </c>
      <c r="R421" s="13"/>
      <c r="S421" s="95" t="e">
        <f>VLOOKUP(C421,'Member Details (HOF Only)'!$A$2:$U$219,7,FALSE)</f>
        <v>#N/A</v>
      </c>
      <c r="T421" s="11">
        <f t="shared" si="6"/>
        <v>0</v>
      </c>
    </row>
    <row r="422" spans="1:20" x14ac:dyDescent="0.2">
      <c r="A422" s="18"/>
      <c r="B422" s="85"/>
      <c r="C422" s="19"/>
      <c r="D422" s="31"/>
      <c r="E422" s="24"/>
      <c r="F422" s="16"/>
      <c r="G422" s="16"/>
      <c r="H422" s="16"/>
      <c r="I422" s="16"/>
      <c r="J422" s="20"/>
      <c r="K422" s="16"/>
      <c r="L422" s="16"/>
      <c r="M422" s="16"/>
      <c r="N422" s="16"/>
      <c r="O422" s="16" t="str">
        <f>IF(ISNA(VLOOKUP(C422,'Auction Summary'!$P$3:$R$600,2,FALSE)),"",VLOOKUP(C422,'Auction Summary'!$P$3:$R$600,2,FALSE))</f>
        <v/>
      </c>
      <c r="P422" s="16"/>
      <c r="Q422" s="95" t="e">
        <f>VLOOKUP(C422,'Member Details (HOF Only)'!$A$2:$U$219,4,FALSE)</f>
        <v>#N/A</v>
      </c>
      <c r="R422" s="13"/>
      <c r="S422" s="95" t="e">
        <f>VLOOKUP(C422,'Member Details (HOF Only)'!$A$2:$U$219,7,FALSE)</f>
        <v>#N/A</v>
      </c>
      <c r="T422" s="11">
        <f t="shared" si="6"/>
        <v>0</v>
      </c>
    </row>
    <row r="423" spans="1:20" x14ac:dyDescent="0.2">
      <c r="A423" s="18"/>
      <c r="B423" s="85"/>
      <c r="C423" s="19"/>
      <c r="D423" s="31"/>
      <c r="E423" s="24"/>
      <c r="F423" s="16"/>
      <c r="G423" s="16"/>
      <c r="H423" s="16"/>
      <c r="I423" s="16"/>
      <c r="J423" s="20"/>
      <c r="K423" s="16"/>
      <c r="L423" s="16"/>
      <c r="M423" s="16"/>
      <c r="N423" s="16"/>
      <c r="O423" s="16" t="str">
        <f>IF(ISNA(VLOOKUP(C423,'Auction Summary'!$P$3:$R$600,2,FALSE)),"",VLOOKUP(C423,'Auction Summary'!$P$3:$R$600,2,FALSE))</f>
        <v/>
      </c>
      <c r="P423" s="16"/>
      <c r="Q423" s="95" t="e">
        <f>VLOOKUP(C423,'Member Details (HOF Only)'!$A$2:$U$219,4,FALSE)</f>
        <v>#N/A</v>
      </c>
      <c r="R423" s="13"/>
      <c r="S423" s="95" t="e">
        <f>VLOOKUP(C423,'Member Details (HOF Only)'!$A$2:$U$219,7,FALSE)</f>
        <v>#N/A</v>
      </c>
      <c r="T423" s="11">
        <f t="shared" si="6"/>
        <v>0</v>
      </c>
    </row>
    <row r="424" spans="1:20" x14ac:dyDescent="0.2">
      <c r="A424" s="18"/>
      <c r="B424" s="85"/>
      <c r="C424" s="19"/>
      <c r="D424" s="31"/>
      <c r="E424" s="24"/>
      <c r="F424" s="16"/>
      <c r="G424" s="16"/>
      <c r="H424" s="16"/>
      <c r="I424" s="16"/>
      <c r="J424" s="20"/>
      <c r="K424" s="16"/>
      <c r="L424" s="16"/>
      <c r="M424" s="16"/>
      <c r="N424" s="16"/>
      <c r="O424" s="16" t="str">
        <f>IF(ISNA(VLOOKUP(C424,'Auction Summary'!$P$3:$R$600,2,FALSE)),"",VLOOKUP(C424,'Auction Summary'!$P$3:$R$600,2,FALSE))</f>
        <v/>
      </c>
      <c r="P424" s="16"/>
      <c r="Q424" s="95" t="e">
        <f>VLOOKUP(C424,'Member Details (HOF Only)'!$A$2:$U$219,4,FALSE)</f>
        <v>#N/A</v>
      </c>
      <c r="R424" s="13"/>
      <c r="S424" s="95" t="e">
        <f>VLOOKUP(C424,'Member Details (HOF Only)'!$A$2:$U$219,7,FALSE)</f>
        <v>#N/A</v>
      </c>
      <c r="T424" s="11">
        <f t="shared" si="6"/>
        <v>0</v>
      </c>
    </row>
    <row r="425" spans="1:20" x14ac:dyDescent="0.2">
      <c r="A425" s="18"/>
      <c r="B425" s="85"/>
      <c r="C425" s="19"/>
      <c r="D425" s="31"/>
      <c r="E425" s="24"/>
      <c r="F425" s="16"/>
      <c r="G425" s="16"/>
      <c r="H425" s="16"/>
      <c r="I425" s="16"/>
      <c r="J425" s="20"/>
      <c r="K425" s="16"/>
      <c r="L425" s="16"/>
      <c r="M425" s="16"/>
      <c r="N425" s="16"/>
      <c r="O425" s="16" t="str">
        <f>IF(ISNA(VLOOKUP(C425,'Auction Summary'!$P$3:$R$600,2,FALSE)),"",VLOOKUP(C425,'Auction Summary'!$P$3:$R$600,2,FALSE))</f>
        <v/>
      </c>
      <c r="P425" s="16"/>
      <c r="Q425" s="95" t="e">
        <f>VLOOKUP(C425,'Member Details (HOF Only)'!$A$2:$U$219,4,FALSE)</f>
        <v>#N/A</v>
      </c>
      <c r="R425" s="13"/>
      <c r="S425" s="95" t="e">
        <f>VLOOKUP(C425,'Member Details (HOF Only)'!$A$2:$U$219,7,FALSE)</f>
        <v>#N/A</v>
      </c>
      <c r="T425" s="11">
        <f t="shared" si="6"/>
        <v>0</v>
      </c>
    </row>
    <row r="426" spans="1:20" x14ac:dyDescent="0.2">
      <c r="A426" s="18"/>
      <c r="B426" s="85"/>
      <c r="C426" s="19"/>
      <c r="D426" s="31"/>
      <c r="E426" s="24"/>
      <c r="F426" s="16"/>
      <c r="G426" s="16"/>
      <c r="H426" s="16"/>
      <c r="I426" s="16"/>
      <c r="J426" s="20"/>
      <c r="K426" s="16"/>
      <c r="L426" s="16"/>
      <c r="M426" s="16"/>
      <c r="N426" s="16"/>
      <c r="O426" s="16" t="str">
        <f>IF(ISNA(VLOOKUP(C426,'Auction Summary'!$P$3:$R$600,2,FALSE)),"",VLOOKUP(C426,'Auction Summary'!$P$3:$R$600,2,FALSE))</f>
        <v/>
      </c>
      <c r="P426" s="16"/>
      <c r="Q426" s="95" t="e">
        <f>VLOOKUP(C426,'Member Details (HOF Only)'!$A$2:$U$219,4,FALSE)</f>
        <v>#N/A</v>
      </c>
      <c r="R426" s="13"/>
      <c r="S426" s="95" t="e">
        <f>VLOOKUP(C426,'Member Details (HOF Only)'!$A$2:$U$219,7,FALSE)</f>
        <v>#N/A</v>
      </c>
      <c r="T426" s="11">
        <f t="shared" si="6"/>
        <v>0</v>
      </c>
    </row>
    <row r="427" spans="1:20" x14ac:dyDescent="0.2">
      <c r="A427" s="18"/>
      <c r="B427" s="85"/>
      <c r="C427" s="19"/>
      <c r="D427" s="31"/>
      <c r="E427" s="24"/>
      <c r="F427" s="16"/>
      <c r="G427" s="16"/>
      <c r="H427" s="16"/>
      <c r="I427" s="16"/>
      <c r="J427" s="20"/>
      <c r="K427" s="16"/>
      <c r="L427" s="16"/>
      <c r="M427" s="16"/>
      <c r="N427" s="16"/>
      <c r="O427" s="16" t="str">
        <f>IF(ISNA(VLOOKUP(C427,'Auction Summary'!$P$3:$R$600,2,FALSE)),"",VLOOKUP(C427,'Auction Summary'!$P$3:$R$600,2,FALSE))</f>
        <v/>
      </c>
      <c r="P427" s="16"/>
      <c r="Q427" s="95" t="e">
        <f>VLOOKUP(C427,'Member Details (HOF Only)'!$A$2:$U$219,4,FALSE)</f>
        <v>#N/A</v>
      </c>
      <c r="R427" s="13"/>
      <c r="S427" s="95" t="e">
        <f>VLOOKUP(C427,'Member Details (HOF Only)'!$A$2:$U$219,7,FALSE)</f>
        <v>#N/A</v>
      </c>
      <c r="T427" s="11">
        <f t="shared" si="6"/>
        <v>0</v>
      </c>
    </row>
    <row r="428" spans="1:20" x14ac:dyDescent="0.2">
      <c r="A428" s="18"/>
      <c r="B428" s="85"/>
      <c r="C428" s="19"/>
      <c r="D428" s="31"/>
      <c r="E428" s="24"/>
      <c r="F428" s="16"/>
      <c r="G428" s="16"/>
      <c r="H428" s="16"/>
      <c r="I428" s="16"/>
      <c r="J428" s="20"/>
      <c r="K428" s="16"/>
      <c r="L428" s="16"/>
      <c r="M428" s="16"/>
      <c r="N428" s="16"/>
      <c r="O428" s="16" t="str">
        <f>IF(ISNA(VLOOKUP(C428,'Auction Summary'!$P$3:$R$600,2,FALSE)),"",VLOOKUP(C428,'Auction Summary'!$P$3:$R$600,2,FALSE))</f>
        <v/>
      </c>
      <c r="P428" s="16"/>
      <c r="Q428" s="95" t="e">
        <f>VLOOKUP(C428,'Member Details (HOF Only)'!$A$2:$U$219,4,FALSE)</f>
        <v>#N/A</v>
      </c>
      <c r="R428" s="13"/>
      <c r="S428" s="95" t="e">
        <f>VLOOKUP(C428,'Member Details (HOF Only)'!$A$2:$U$219,7,FALSE)</f>
        <v>#N/A</v>
      </c>
      <c r="T428" s="11">
        <f t="shared" si="6"/>
        <v>0</v>
      </c>
    </row>
    <row r="429" spans="1:20" x14ac:dyDescent="0.2">
      <c r="A429" s="18"/>
      <c r="B429" s="85"/>
      <c r="C429" s="19"/>
      <c r="D429" s="31"/>
      <c r="E429" s="24"/>
      <c r="F429" s="16"/>
      <c r="G429" s="16"/>
      <c r="H429" s="16"/>
      <c r="I429" s="16"/>
      <c r="J429" s="20"/>
      <c r="K429" s="16"/>
      <c r="L429" s="16"/>
      <c r="M429" s="16"/>
      <c r="N429" s="16"/>
      <c r="O429" s="16" t="str">
        <f>IF(ISNA(VLOOKUP(C429,'Auction Summary'!$P$3:$R$600,2,FALSE)),"",VLOOKUP(C429,'Auction Summary'!$P$3:$R$600,2,FALSE))</f>
        <v/>
      </c>
      <c r="P429" s="16"/>
      <c r="Q429" s="95" t="e">
        <f>VLOOKUP(C429,'Member Details (HOF Only)'!$A$2:$U$219,4,FALSE)</f>
        <v>#N/A</v>
      </c>
      <c r="R429" s="13"/>
      <c r="S429" s="95" t="e">
        <f>VLOOKUP(C429,'Member Details (HOF Only)'!$A$2:$U$219,7,FALSE)</f>
        <v>#N/A</v>
      </c>
      <c r="T429" s="11">
        <f t="shared" si="6"/>
        <v>0</v>
      </c>
    </row>
    <row r="430" spans="1:20" x14ac:dyDescent="0.2">
      <c r="A430" s="18"/>
      <c r="B430" s="85"/>
      <c r="C430" s="19"/>
      <c r="D430" s="31"/>
      <c r="E430" s="24"/>
      <c r="F430" s="16"/>
      <c r="G430" s="16"/>
      <c r="H430" s="16"/>
      <c r="I430" s="16"/>
      <c r="J430" s="20"/>
      <c r="K430" s="16"/>
      <c r="L430" s="16"/>
      <c r="M430" s="16"/>
      <c r="N430" s="16"/>
      <c r="O430" s="16" t="str">
        <f>IF(ISNA(VLOOKUP(C430,'Auction Summary'!$P$3:$R$600,2,FALSE)),"",VLOOKUP(C430,'Auction Summary'!$P$3:$R$600,2,FALSE))</f>
        <v/>
      </c>
      <c r="P430" s="16"/>
      <c r="Q430" s="95" t="e">
        <f>VLOOKUP(C430,'Member Details (HOF Only)'!$A$2:$U$219,4,FALSE)</f>
        <v>#N/A</v>
      </c>
      <c r="R430" s="13"/>
      <c r="S430" s="95" t="e">
        <f>VLOOKUP(C430,'Member Details (HOF Only)'!$A$2:$U$219,7,FALSE)</f>
        <v>#N/A</v>
      </c>
      <c r="T430" s="11">
        <f t="shared" si="6"/>
        <v>0</v>
      </c>
    </row>
    <row r="431" spans="1:20" x14ac:dyDescent="0.2">
      <c r="A431" s="18"/>
      <c r="B431" s="85"/>
      <c r="C431" s="19"/>
      <c r="D431" s="31"/>
      <c r="E431" s="24"/>
      <c r="F431" s="16"/>
      <c r="G431" s="16"/>
      <c r="H431" s="16"/>
      <c r="I431" s="16"/>
      <c r="J431" s="20"/>
      <c r="K431" s="16"/>
      <c r="L431" s="16"/>
      <c r="M431" s="16"/>
      <c r="N431" s="16"/>
      <c r="O431" s="16" t="str">
        <f>IF(ISNA(VLOOKUP(C431,'Auction Summary'!$P$3:$R$600,2,FALSE)),"",VLOOKUP(C431,'Auction Summary'!$P$3:$R$600,2,FALSE))</f>
        <v/>
      </c>
      <c r="P431" s="16"/>
      <c r="Q431" s="95" t="e">
        <f>VLOOKUP(C431,'Member Details (HOF Only)'!$A$2:$U$219,4,FALSE)</f>
        <v>#N/A</v>
      </c>
      <c r="R431" s="13"/>
      <c r="S431" s="95" t="e">
        <f>VLOOKUP(C431,'Member Details (HOF Only)'!$A$2:$U$219,7,FALSE)</f>
        <v>#N/A</v>
      </c>
      <c r="T431" s="11">
        <f t="shared" si="6"/>
        <v>0</v>
      </c>
    </row>
    <row r="432" spans="1:20" x14ac:dyDescent="0.2">
      <c r="A432" s="18"/>
      <c r="B432" s="85"/>
      <c r="C432" s="19"/>
      <c r="D432" s="31"/>
      <c r="E432" s="24"/>
      <c r="F432" s="16"/>
      <c r="G432" s="16"/>
      <c r="H432" s="16"/>
      <c r="I432" s="16"/>
      <c r="J432" s="20"/>
      <c r="K432" s="16"/>
      <c r="L432" s="16"/>
      <c r="M432" s="16"/>
      <c r="N432" s="16"/>
      <c r="O432" s="16" t="str">
        <f>IF(ISNA(VLOOKUP(C432,'Auction Summary'!$P$3:$R$600,2,FALSE)),"",VLOOKUP(C432,'Auction Summary'!$P$3:$R$600,2,FALSE))</f>
        <v/>
      </c>
      <c r="P432" s="16"/>
      <c r="Q432" s="95" t="e">
        <f>VLOOKUP(C432,'Member Details (HOF Only)'!$A$2:$U$219,4,FALSE)</f>
        <v>#N/A</v>
      </c>
      <c r="R432" s="13"/>
      <c r="S432" s="95" t="e">
        <f>VLOOKUP(C432,'Member Details (HOF Only)'!$A$2:$U$219,7,FALSE)</f>
        <v>#N/A</v>
      </c>
      <c r="T432" s="11">
        <f t="shared" si="6"/>
        <v>0</v>
      </c>
    </row>
    <row r="433" spans="1:20" x14ac:dyDescent="0.2">
      <c r="A433" s="18"/>
      <c r="B433" s="85"/>
      <c r="C433" s="19"/>
      <c r="D433" s="31"/>
      <c r="E433" s="24"/>
      <c r="F433" s="16"/>
      <c r="G433" s="16"/>
      <c r="H433" s="16"/>
      <c r="I433" s="16"/>
      <c r="J433" s="20"/>
      <c r="K433" s="16"/>
      <c r="L433" s="16"/>
      <c r="M433" s="16"/>
      <c r="N433" s="16"/>
      <c r="O433" s="16" t="str">
        <f>IF(ISNA(VLOOKUP(C433,'Auction Summary'!$P$3:$R$600,2,FALSE)),"",VLOOKUP(C433,'Auction Summary'!$P$3:$R$600,2,FALSE))</f>
        <v/>
      </c>
      <c r="P433" s="16"/>
      <c r="Q433" s="95" t="e">
        <f>VLOOKUP(C433,'Member Details (HOF Only)'!$A$2:$U$219,4,FALSE)</f>
        <v>#N/A</v>
      </c>
      <c r="R433" s="13"/>
      <c r="S433" s="95" t="e">
        <f>VLOOKUP(C433,'Member Details (HOF Only)'!$A$2:$U$219,7,FALSE)</f>
        <v>#N/A</v>
      </c>
      <c r="T433" s="11">
        <f t="shared" si="6"/>
        <v>0</v>
      </c>
    </row>
    <row r="434" spans="1:20" x14ac:dyDescent="0.2">
      <c r="A434" s="18"/>
      <c r="B434" s="85"/>
      <c r="C434" s="19"/>
      <c r="D434" s="31"/>
      <c r="E434" s="24"/>
      <c r="F434" s="16"/>
      <c r="G434" s="16"/>
      <c r="H434" s="16"/>
      <c r="I434" s="16"/>
      <c r="J434" s="20"/>
      <c r="K434" s="16"/>
      <c r="L434" s="16"/>
      <c r="M434" s="16"/>
      <c r="N434" s="16"/>
      <c r="O434" s="16" t="str">
        <f>IF(ISNA(VLOOKUP(C434,'Auction Summary'!$P$3:$R$600,2,FALSE)),"",VLOOKUP(C434,'Auction Summary'!$P$3:$R$600,2,FALSE))</f>
        <v/>
      </c>
      <c r="P434" s="16"/>
      <c r="Q434" s="95" t="e">
        <f>VLOOKUP(C434,'Member Details (HOF Only)'!$A$2:$U$219,4,FALSE)</f>
        <v>#N/A</v>
      </c>
      <c r="R434" s="13"/>
      <c r="S434" s="95" t="e">
        <f>VLOOKUP(C434,'Member Details (HOF Only)'!$A$2:$U$219,7,FALSE)</f>
        <v>#N/A</v>
      </c>
      <c r="T434" s="11">
        <f t="shared" si="6"/>
        <v>0</v>
      </c>
    </row>
    <row r="435" spans="1:20" x14ac:dyDescent="0.2">
      <c r="A435" s="18"/>
      <c r="B435" s="85"/>
      <c r="C435" s="19"/>
      <c r="D435" s="31"/>
      <c r="E435" s="24"/>
      <c r="F435" s="16"/>
      <c r="G435" s="16"/>
      <c r="H435" s="16"/>
      <c r="I435" s="16"/>
      <c r="J435" s="20"/>
      <c r="K435" s="16"/>
      <c r="L435" s="16"/>
      <c r="M435" s="16"/>
      <c r="N435" s="16"/>
      <c r="O435" s="16" t="str">
        <f>IF(ISNA(VLOOKUP(C435,'Auction Summary'!$P$3:$R$600,2,FALSE)),"",VLOOKUP(C435,'Auction Summary'!$P$3:$R$600,2,FALSE))</f>
        <v/>
      </c>
      <c r="P435" s="16"/>
      <c r="Q435" s="95" t="e">
        <f>VLOOKUP(C435,'Member Details (HOF Only)'!$A$2:$U$219,4,FALSE)</f>
        <v>#N/A</v>
      </c>
      <c r="R435" s="13"/>
      <c r="S435" s="95" t="e">
        <f>VLOOKUP(C435,'Member Details (HOF Only)'!$A$2:$U$219,7,FALSE)</f>
        <v>#N/A</v>
      </c>
      <c r="T435" s="11">
        <f t="shared" si="6"/>
        <v>0</v>
      </c>
    </row>
    <row r="436" spans="1:20" x14ac:dyDescent="0.2">
      <c r="A436" s="18"/>
      <c r="B436" s="85"/>
      <c r="C436" s="19"/>
      <c r="D436" s="31"/>
      <c r="E436" s="24"/>
      <c r="F436" s="16"/>
      <c r="G436" s="16"/>
      <c r="H436" s="16"/>
      <c r="I436" s="16"/>
      <c r="J436" s="20"/>
      <c r="K436" s="16"/>
      <c r="L436" s="16"/>
      <c r="M436" s="16"/>
      <c r="N436" s="16"/>
      <c r="O436" s="16" t="str">
        <f>IF(ISNA(VLOOKUP(C436,'Auction Summary'!$P$3:$R$600,2,FALSE)),"",VLOOKUP(C436,'Auction Summary'!$P$3:$R$600,2,FALSE))</f>
        <v/>
      </c>
      <c r="P436" s="16"/>
      <c r="Q436" s="95" t="e">
        <f>VLOOKUP(C436,'Member Details (HOF Only)'!$A$2:$U$219,4,FALSE)</f>
        <v>#N/A</v>
      </c>
      <c r="R436" s="13"/>
      <c r="S436" s="95" t="e">
        <f>VLOOKUP(C436,'Member Details (HOF Only)'!$A$2:$U$219,7,FALSE)</f>
        <v>#N/A</v>
      </c>
      <c r="T436" s="11">
        <f t="shared" si="6"/>
        <v>0</v>
      </c>
    </row>
    <row r="437" spans="1:20" x14ac:dyDescent="0.2">
      <c r="A437" s="18"/>
      <c r="B437" s="85"/>
      <c r="C437" s="19"/>
      <c r="D437" s="31"/>
      <c r="E437" s="24"/>
      <c r="F437" s="16"/>
      <c r="G437" s="16"/>
      <c r="H437" s="16"/>
      <c r="I437" s="16"/>
      <c r="J437" s="20"/>
      <c r="K437" s="16"/>
      <c r="L437" s="16"/>
      <c r="M437" s="16"/>
      <c r="N437" s="16"/>
      <c r="O437" s="16" t="str">
        <f>IF(ISNA(VLOOKUP(C437,'Auction Summary'!$P$3:$R$600,2,FALSE)),"",VLOOKUP(C437,'Auction Summary'!$P$3:$R$600,2,FALSE))</f>
        <v/>
      </c>
      <c r="P437" s="16"/>
      <c r="Q437" s="95" t="e">
        <f>VLOOKUP(C437,'Member Details (HOF Only)'!$A$2:$U$219,4,FALSE)</f>
        <v>#N/A</v>
      </c>
      <c r="R437" s="13"/>
      <c r="S437" s="95" t="e">
        <f>VLOOKUP(C437,'Member Details (HOF Only)'!$A$2:$U$219,7,FALSE)</f>
        <v>#N/A</v>
      </c>
      <c r="T437" s="11">
        <f t="shared" si="6"/>
        <v>0</v>
      </c>
    </row>
    <row r="438" spans="1:20" x14ac:dyDescent="0.2">
      <c r="A438" s="18"/>
      <c r="B438" s="85"/>
      <c r="C438" s="19"/>
      <c r="D438" s="31"/>
      <c r="E438" s="24"/>
      <c r="F438" s="16"/>
      <c r="G438" s="16"/>
      <c r="H438" s="16"/>
      <c r="I438" s="16"/>
      <c r="J438" s="20"/>
      <c r="K438" s="16"/>
      <c r="L438" s="16"/>
      <c r="M438" s="16"/>
      <c r="N438" s="16"/>
      <c r="O438" s="16" t="str">
        <f>IF(ISNA(VLOOKUP(C438,'Auction Summary'!$P$3:$R$600,2,FALSE)),"",VLOOKUP(C438,'Auction Summary'!$P$3:$R$600,2,FALSE))</f>
        <v/>
      </c>
      <c r="P438" s="16"/>
      <c r="Q438" s="95" t="e">
        <f>VLOOKUP(C438,'Member Details (HOF Only)'!$A$2:$U$219,4,FALSE)</f>
        <v>#N/A</v>
      </c>
      <c r="R438" s="13"/>
      <c r="S438" s="95" t="e">
        <f>VLOOKUP(C438,'Member Details (HOF Only)'!$A$2:$U$219,7,FALSE)</f>
        <v>#N/A</v>
      </c>
      <c r="T438" s="11">
        <f t="shared" si="6"/>
        <v>0</v>
      </c>
    </row>
    <row r="439" spans="1:20" x14ac:dyDescent="0.2">
      <c r="A439" s="18"/>
      <c r="B439" s="85"/>
      <c r="C439" s="19"/>
      <c r="D439" s="31"/>
      <c r="E439" s="24"/>
      <c r="F439" s="16"/>
      <c r="G439" s="16"/>
      <c r="H439" s="16"/>
      <c r="I439" s="16"/>
      <c r="J439" s="20"/>
      <c r="K439" s="16"/>
      <c r="L439" s="16"/>
      <c r="M439" s="16"/>
      <c r="N439" s="16"/>
      <c r="O439" s="16" t="str">
        <f>IF(ISNA(VLOOKUP(C439,'Auction Summary'!$P$3:$R$600,2,FALSE)),"",VLOOKUP(C439,'Auction Summary'!$P$3:$R$600,2,FALSE))</f>
        <v/>
      </c>
      <c r="P439" s="16"/>
      <c r="Q439" s="95" t="e">
        <f>VLOOKUP(C439,'Member Details (HOF Only)'!$A$2:$U$219,4,FALSE)</f>
        <v>#N/A</v>
      </c>
      <c r="R439" s="13"/>
      <c r="S439" s="95" t="e">
        <f>VLOOKUP(C439,'Member Details (HOF Only)'!$A$2:$U$219,7,FALSE)</f>
        <v>#N/A</v>
      </c>
      <c r="T439" s="11">
        <f t="shared" si="6"/>
        <v>0</v>
      </c>
    </row>
    <row r="440" spans="1:20" x14ac:dyDescent="0.2">
      <c r="A440" s="18"/>
      <c r="B440" s="85"/>
      <c r="C440" s="19"/>
      <c r="D440" s="31"/>
      <c r="E440" s="24"/>
      <c r="F440" s="16"/>
      <c r="G440" s="16"/>
      <c r="H440" s="16"/>
      <c r="I440" s="16"/>
      <c r="J440" s="20"/>
      <c r="K440" s="16"/>
      <c r="L440" s="16"/>
      <c r="M440" s="16"/>
      <c r="N440" s="16"/>
      <c r="O440" s="16" t="str">
        <f>IF(ISNA(VLOOKUP(C440,'Auction Summary'!$P$3:$R$600,2,FALSE)),"",VLOOKUP(C440,'Auction Summary'!$P$3:$R$600,2,FALSE))</f>
        <v/>
      </c>
      <c r="P440" s="16"/>
      <c r="Q440" s="95" t="e">
        <f>VLOOKUP(C440,'Member Details (HOF Only)'!$A$2:$U$219,4,FALSE)</f>
        <v>#N/A</v>
      </c>
      <c r="R440" s="13"/>
      <c r="S440" s="95" t="e">
        <f>VLOOKUP(C440,'Member Details (HOF Only)'!$A$2:$U$219,7,FALSE)</f>
        <v>#N/A</v>
      </c>
      <c r="T440" s="11">
        <f t="shared" si="6"/>
        <v>0</v>
      </c>
    </row>
    <row r="441" spans="1:20" x14ac:dyDescent="0.2">
      <c r="A441" s="18"/>
      <c r="B441" s="85"/>
      <c r="C441" s="19"/>
      <c r="D441" s="31"/>
      <c r="E441" s="24"/>
      <c r="F441" s="16"/>
      <c r="G441" s="16"/>
      <c r="H441" s="16"/>
      <c r="I441" s="16"/>
      <c r="J441" s="20"/>
      <c r="K441" s="16"/>
      <c r="L441" s="16"/>
      <c r="M441" s="16"/>
      <c r="N441" s="16"/>
      <c r="O441" s="16" t="str">
        <f>IF(ISNA(VLOOKUP(C441,'Auction Summary'!$P$3:$R$600,2,FALSE)),"",VLOOKUP(C441,'Auction Summary'!$P$3:$R$600,2,FALSE))</f>
        <v/>
      </c>
      <c r="P441" s="16"/>
      <c r="Q441" s="95" t="e">
        <f>VLOOKUP(C441,'Member Details (HOF Only)'!$A$2:$U$219,4,FALSE)</f>
        <v>#N/A</v>
      </c>
      <c r="R441" s="13"/>
      <c r="S441" s="95" t="e">
        <f>VLOOKUP(C441,'Member Details (HOF Only)'!$A$2:$U$219,7,FALSE)</f>
        <v>#N/A</v>
      </c>
      <c r="T441" s="11">
        <f t="shared" si="6"/>
        <v>0</v>
      </c>
    </row>
    <row r="442" spans="1:20" x14ac:dyDescent="0.2">
      <c r="A442" s="18"/>
      <c r="B442" s="85"/>
      <c r="C442" s="19"/>
      <c r="D442" s="31"/>
      <c r="E442" s="24"/>
      <c r="F442" s="16"/>
      <c r="G442" s="16"/>
      <c r="H442" s="16"/>
      <c r="I442" s="16"/>
      <c r="J442" s="20"/>
      <c r="K442" s="16"/>
      <c r="L442" s="16"/>
      <c r="M442" s="16"/>
      <c r="N442" s="16"/>
      <c r="O442" s="16" t="str">
        <f>IF(ISNA(VLOOKUP(C442,'Auction Summary'!$P$3:$R$600,2,FALSE)),"",VLOOKUP(C442,'Auction Summary'!$P$3:$R$600,2,FALSE))</f>
        <v/>
      </c>
      <c r="P442" s="16"/>
      <c r="Q442" s="95" t="e">
        <f>VLOOKUP(C442,'Member Details (HOF Only)'!$A$2:$U$219,4,FALSE)</f>
        <v>#N/A</v>
      </c>
      <c r="R442" s="13"/>
      <c r="S442" s="95" t="e">
        <f>VLOOKUP(C442,'Member Details (HOF Only)'!$A$2:$U$219,7,FALSE)</f>
        <v>#N/A</v>
      </c>
      <c r="T442" s="11">
        <f t="shared" si="6"/>
        <v>0</v>
      </c>
    </row>
    <row r="443" spans="1:20" x14ac:dyDescent="0.2">
      <c r="A443" s="18"/>
      <c r="B443" s="85"/>
      <c r="C443" s="19"/>
      <c r="D443" s="31"/>
      <c r="E443" s="24"/>
      <c r="F443" s="16"/>
      <c r="G443" s="16"/>
      <c r="H443" s="16"/>
      <c r="I443" s="16"/>
      <c r="J443" s="20"/>
      <c r="K443" s="16"/>
      <c r="L443" s="16"/>
      <c r="M443" s="16"/>
      <c r="N443" s="16"/>
      <c r="O443" s="16" t="str">
        <f>IF(ISNA(VLOOKUP(C443,'Auction Summary'!$P$3:$R$600,2,FALSE)),"",VLOOKUP(C443,'Auction Summary'!$P$3:$R$600,2,FALSE))</f>
        <v/>
      </c>
      <c r="P443" s="16"/>
      <c r="Q443" s="95" t="e">
        <f>VLOOKUP(C443,'Member Details (HOF Only)'!$A$2:$U$219,4,FALSE)</f>
        <v>#N/A</v>
      </c>
      <c r="R443" s="13"/>
      <c r="S443" s="95" t="e">
        <f>VLOOKUP(C443,'Member Details (HOF Only)'!$A$2:$U$219,7,FALSE)</f>
        <v>#N/A</v>
      </c>
      <c r="T443" s="11">
        <f t="shared" si="6"/>
        <v>0</v>
      </c>
    </row>
    <row r="444" spans="1:20" x14ac:dyDescent="0.2">
      <c r="A444" s="18"/>
      <c r="B444" s="85"/>
      <c r="C444" s="19"/>
      <c r="D444" s="31"/>
      <c r="E444" s="24"/>
      <c r="F444" s="16"/>
      <c r="G444" s="16"/>
      <c r="H444" s="16"/>
      <c r="I444" s="16"/>
      <c r="J444" s="20"/>
      <c r="K444" s="16"/>
      <c r="L444" s="16"/>
      <c r="M444" s="16"/>
      <c r="N444" s="16"/>
      <c r="O444" s="16" t="str">
        <f>IF(ISNA(VLOOKUP(C444,'Auction Summary'!$P$3:$R$600,2,FALSE)),"",VLOOKUP(C444,'Auction Summary'!$P$3:$R$600,2,FALSE))</f>
        <v/>
      </c>
      <c r="P444" s="16"/>
      <c r="Q444" s="95" t="e">
        <f>VLOOKUP(C444,'Member Details (HOF Only)'!$A$2:$U$219,4,FALSE)</f>
        <v>#N/A</v>
      </c>
      <c r="R444" s="13"/>
      <c r="S444" s="95" t="e">
        <f>VLOOKUP(C444,'Member Details (HOF Only)'!$A$2:$U$219,7,FALSE)</f>
        <v>#N/A</v>
      </c>
      <c r="T444" s="11">
        <f t="shared" si="6"/>
        <v>0</v>
      </c>
    </row>
    <row r="445" spans="1:20" x14ac:dyDescent="0.2">
      <c r="A445" s="18"/>
      <c r="B445" s="85"/>
      <c r="C445" s="19"/>
      <c r="D445" s="31"/>
      <c r="E445" s="24"/>
      <c r="F445" s="16"/>
      <c r="G445" s="16"/>
      <c r="H445" s="16"/>
      <c r="I445" s="16"/>
      <c r="J445" s="20"/>
      <c r="K445" s="16"/>
      <c r="L445" s="16"/>
      <c r="M445" s="16"/>
      <c r="N445" s="16"/>
      <c r="O445" s="16" t="str">
        <f>IF(ISNA(VLOOKUP(C445,'Auction Summary'!$P$3:$R$600,2,FALSE)),"",VLOOKUP(C445,'Auction Summary'!$P$3:$R$600,2,FALSE))</f>
        <v/>
      </c>
      <c r="P445" s="16"/>
      <c r="Q445" s="95" t="e">
        <f>VLOOKUP(C445,'Member Details (HOF Only)'!$A$2:$U$219,4,FALSE)</f>
        <v>#N/A</v>
      </c>
      <c r="R445" s="13"/>
      <c r="S445" s="95" t="e">
        <f>VLOOKUP(C445,'Member Details (HOF Only)'!$A$2:$U$219,7,FALSE)</f>
        <v>#N/A</v>
      </c>
      <c r="T445" s="11">
        <f t="shared" si="6"/>
        <v>0</v>
      </c>
    </row>
    <row r="446" spans="1:20" x14ac:dyDescent="0.2">
      <c r="A446" s="18"/>
      <c r="B446" s="85"/>
      <c r="C446" s="19"/>
      <c r="D446" s="31"/>
      <c r="E446" s="24"/>
      <c r="F446" s="16"/>
      <c r="G446" s="16"/>
      <c r="H446" s="16"/>
      <c r="I446" s="16"/>
      <c r="J446" s="20"/>
      <c r="K446" s="16"/>
      <c r="L446" s="16"/>
      <c r="M446" s="16"/>
      <c r="N446" s="16"/>
      <c r="O446" s="16" t="str">
        <f>IF(ISNA(VLOOKUP(C446,'Auction Summary'!$P$3:$R$600,2,FALSE)),"",VLOOKUP(C446,'Auction Summary'!$P$3:$R$600,2,FALSE))</f>
        <v/>
      </c>
      <c r="P446" s="16"/>
      <c r="Q446" s="95" t="e">
        <f>VLOOKUP(C446,'Member Details (HOF Only)'!$A$2:$U$219,4,FALSE)</f>
        <v>#N/A</v>
      </c>
      <c r="R446" s="13"/>
      <c r="S446" s="95" t="e">
        <f>VLOOKUP(C446,'Member Details (HOF Only)'!$A$2:$U$219,7,FALSE)</f>
        <v>#N/A</v>
      </c>
      <c r="T446" s="11">
        <f t="shared" si="6"/>
        <v>0</v>
      </c>
    </row>
    <row r="447" spans="1:20" x14ac:dyDescent="0.2">
      <c r="A447" s="18"/>
      <c r="B447" s="85"/>
      <c r="C447" s="19"/>
      <c r="D447" s="31"/>
      <c r="E447" s="24"/>
      <c r="F447" s="16"/>
      <c r="G447" s="16"/>
      <c r="H447" s="16"/>
      <c r="I447" s="16"/>
      <c r="J447" s="20"/>
      <c r="K447" s="16"/>
      <c r="L447" s="16"/>
      <c r="M447" s="16"/>
      <c r="N447" s="16"/>
      <c r="O447" s="16" t="str">
        <f>IF(ISNA(VLOOKUP(C447,'Auction Summary'!$P$3:$R$600,2,FALSE)),"",VLOOKUP(C447,'Auction Summary'!$P$3:$R$600,2,FALSE))</f>
        <v/>
      </c>
      <c r="P447" s="16"/>
      <c r="Q447" s="95" t="e">
        <f>VLOOKUP(C447,'Member Details (HOF Only)'!$A$2:$U$219,4,FALSE)</f>
        <v>#N/A</v>
      </c>
      <c r="R447" s="13"/>
      <c r="S447" s="95" t="e">
        <f>VLOOKUP(C447,'Member Details (HOF Only)'!$A$2:$U$219,7,FALSE)</f>
        <v>#N/A</v>
      </c>
      <c r="T447" s="11">
        <f t="shared" si="6"/>
        <v>0</v>
      </c>
    </row>
    <row r="448" spans="1:20" x14ac:dyDescent="0.2">
      <c r="A448" s="18"/>
      <c r="B448" s="85"/>
      <c r="C448" s="19"/>
      <c r="D448" s="31"/>
      <c r="E448" s="24"/>
      <c r="F448" s="16"/>
      <c r="G448" s="16"/>
      <c r="H448" s="16"/>
      <c r="I448" s="16"/>
      <c r="J448" s="20"/>
      <c r="K448" s="16"/>
      <c r="L448" s="16"/>
      <c r="M448" s="16"/>
      <c r="N448" s="16"/>
      <c r="O448" s="16" t="str">
        <f>IF(ISNA(VLOOKUP(C448,'Auction Summary'!$P$3:$R$600,2,FALSE)),"",VLOOKUP(C448,'Auction Summary'!$P$3:$R$600,2,FALSE))</f>
        <v/>
      </c>
      <c r="P448" s="16"/>
      <c r="Q448" s="95" t="e">
        <f>VLOOKUP(C448,'Member Details (HOF Only)'!$A$2:$U$219,4,FALSE)</f>
        <v>#N/A</v>
      </c>
      <c r="R448" s="13"/>
      <c r="S448" s="95" t="e">
        <f>VLOOKUP(C448,'Member Details (HOF Only)'!$A$2:$U$219,7,FALSE)</f>
        <v>#N/A</v>
      </c>
      <c r="T448" s="11">
        <f t="shared" si="6"/>
        <v>0</v>
      </c>
    </row>
    <row r="449" spans="1:20" x14ac:dyDescent="0.2">
      <c r="A449" s="18"/>
      <c r="B449" s="85"/>
      <c r="C449" s="19"/>
      <c r="D449" s="31"/>
      <c r="E449" s="24"/>
      <c r="F449" s="16"/>
      <c r="G449" s="16"/>
      <c r="H449" s="16"/>
      <c r="I449" s="16"/>
      <c r="J449" s="20"/>
      <c r="K449" s="16"/>
      <c r="L449" s="16"/>
      <c r="M449" s="16"/>
      <c r="N449" s="16"/>
      <c r="O449" s="16" t="str">
        <f>IF(ISNA(VLOOKUP(C449,'Auction Summary'!$P$3:$R$600,2,FALSE)),"",VLOOKUP(C449,'Auction Summary'!$P$3:$R$600,2,FALSE))</f>
        <v/>
      </c>
      <c r="P449" s="16"/>
      <c r="Q449" s="95" t="e">
        <f>VLOOKUP(C449,'Member Details (HOF Only)'!$A$2:$U$219,4,FALSE)</f>
        <v>#N/A</v>
      </c>
      <c r="R449" s="13"/>
      <c r="S449" s="95" t="e">
        <f>VLOOKUP(C449,'Member Details (HOF Only)'!$A$2:$U$219,7,FALSE)</f>
        <v>#N/A</v>
      </c>
      <c r="T449" s="11">
        <f t="shared" ref="T449:T512" si="7">T448+D449</f>
        <v>0</v>
      </c>
    </row>
    <row r="450" spans="1:20" x14ac:dyDescent="0.2">
      <c r="A450" s="18"/>
      <c r="B450" s="85"/>
      <c r="C450" s="19"/>
      <c r="D450" s="31"/>
      <c r="E450" s="24"/>
      <c r="F450" s="16"/>
      <c r="G450" s="16"/>
      <c r="H450" s="16"/>
      <c r="I450" s="16"/>
      <c r="J450" s="20"/>
      <c r="K450" s="16"/>
      <c r="L450" s="16"/>
      <c r="M450" s="16"/>
      <c r="N450" s="16"/>
      <c r="O450" s="16" t="str">
        <f>IF(ISNA(VLOOKUP(C450,'Auction Summary'!$P$3:$R$600,2,FALSE)),"",VLOOKUP(C450,'Auction Summary'!$P$3:$R$600,2,FALSE))</f>
        <v/>
      </c>
      <c r="P450" s="16"/>
      <c r="Q450" s="95" t="e">
        <f>VLOOKUP(C450,'Member Details (HOF Only)'!$A$2:$U$219,4,FALSE)</f>
        <v>#N/A</v>
      </c>
      <c r="R450" s="13"/>
      <c r="S450" s="95" t="e">
        <f>VLOOKUP(C450,'Member Details (HOF Only)'!$A$2:$U$219,7,FALSE)</f>
        <v>#N/A</v>
      </c>
      <c r="T450" s="11">
        <f t="shared" si="7"/>
        <v>0</v>
      </c>
    </row>
    <row r="451" spans="1:20" x14ac:dyDescent="0.2">
      <c r="A451" s="18"/>
      <c r="B451" s="85"/>
      <c r="C451" s="19"/>
      <c r="D451" s="31"/>
      <c r="E451" s="24"/>
      <c r="F451" s="16"/>
      <c r="G451" s="16"/>
      <c r="H451" s="16"/>
      <c r="I451" s="16"/>
      <c r="J451" s="20"/>
      <c r="K451" s="16"/>
      <c r="L451" s="16"/>
      <c r="M451" s="16"/>
      <c r="N451" s="16"/>
      <c r="O451" s="16" t="str">
        <f>IF(ISNA(VLOOKUP(C451,'Auction Summary'!$P$3:$R$600,2,FALSE)),"",VLOOKUP(C451,'Auction Summary'!$P$3:$R$600,2,FALSE))</f>
        <v/>
      </c>
      <c r="P451" s="16"/>
      <c r="Q451" s="95" t="e">
        <f>VLOOKUP(C451,'Member Details (HOF Only)'!$A$2:$U$219,4,FALSE)</f>
        <v>#N/A</v>
      </c>
      <c r="R451" s="13"/>
      <c r="S451" s="95" t="e">
        <f>VLOOKUP(C451,'Member Details (HOF Only)'!$A$2:$U$219,7,FALSE)</f>
        <v>#N/A</v>
      </c>
      <c r="T451" s="11">
        <f t="shared" si="7"/>
        <v>0</v>
      </c>
    </row>
    <row r="452" spans="1:20" x14ac:dyDescent="0.2">
      <c r="A452" s="18"/>
      <c r="B452" s="85"/>
      <c r="C452" s="19"/>
      <c r="D452" s="31"/>
      <c r="E452" s="24"/>
      <c r="F452" s="16"/>
      <c r="G452" s="16"/>
      <c r="H452" s="16"/>
      <c r="I452" s="16"/>
      <c r="J452" s="20"/>
      <c r="K452" s="16"/>
      <c r="L452" s="16"/>
      <c r="M452" s="16"/>
      <c r="N452" s="16"/>
      <c r="O452" s="16" t="str">
        <f>IF(ISNA(VLOOKUP(C452,'Auction Summary'!$P$3:$R$600,2,FALSE)),"",VLOOKUP(C452,'Auction Summary'!$P$3:$R$600,2,FALSE))</f>
        <v/>
      </c>
      <c r="P452" s="16"/>
      <c r="Q452" s="95" t="e">
        <f>VLOOKUP(C452,'Member Details (HOF Only)'!$A$2:$U$219,4,FALSE)</f>
        <v>#N/A</v>
      </c>
      <c r="R452" s="13"/>
      <c r="S452" s="95" t="e">
        <f>VLOOKUP(C452,'Member Details (HOF Only)'!$A$2:$U$219,7,FALSE)</f>
        <v>#N/A</v>
      </c>
      <c r="T452" s="11">
        <f t="shared" si="7"/>
        <v>0</v>
      </c>
    </row>
    <row r="453" spans="1:20" x14ac:dyDescent="0.2">
      <c r="A453" s="18"/>
      <c r="B453" s="85"/>
      <c r="C453" s="19"/>
      <c r="D453" s="31"/>
      <c r="E453" s="24"/>
      <c r="F453" s="16"/>
      <c r="G453" s="16"/>
      <c r="H453" s="16"/>
      <c r="I453" s="16"/>
      <c r="J453" s="20"/>
      <c r="K453" s="16"/>
      <c r="L453" s="16"/>
      <c r="M453" s="16"/>
      <c r="N453" s="16"/>
      <c r="O453" s="16" t="str">
        <f>IF(ISNA(VLOOKUP(C453,'Auction Summary'!$P$3:$R$600,2,FALSE)),"",VLOOKUP(C453,'Auction Summary'!$P$3:$R$600,2,FALSE))</f>
        <v/>
      </c>
      <c r="P453" s="16"/>
      <c r="Q453" s="95" t="e">
        <f>VLOOKUP(C453,'Member Details (HOF Only)'!$A$2:$U$219,4,FALSE)</f>
        <v>#N/A</v>
      </c>
      <c r="R453" s="13"/>
      <c r="S453" s="95" t="e">
        <f>VLOOKUP(C453,'Member Details (HOF Only)'!$A$2:$U$219,7,FALSE)</f>
        <v>#N/A</v>
      </c>
      <c r="T453" s="11">
        <f t="shared" si="7"/>
        <v>0</v>
      </c>
    </row>
    <row r="454" spans="1:20" x14ac:dyDescent="0.2">
      <c r="A454" s="18"/>
      <c r="B454" s="85"/>
      <c r="C454" s="19"/>
      <c r="D454" s="31"/>
      <c r="E454" s="24"/>
      <c r="F454" s="16"/>
      <c r="G454" s="16"/>
      <c r="H454" s="16"/>
      <c r="I454" s="16"/>
      <c r="J454" s="20"/>
      <c r="K454" s="16"/>
      <c r="L454" s="16"/>
      <c r="M454" s="16"/>
      <c r="N454" s="16"/>
      <c r="O454" s="16" t="str">
        <f>IF(ISNA(VLOOKUP(C454,'Auction Summary'!$P$3:$R$600,2,FALSE)),"",VLOOKUP(C454,'Auction Summary'!$P$3:$R$600,2,FALSE))</f>
        <v/>
      </c>
      <c r="P454" s="16"/>
      <c r="Q454" s="95" t="e">
        <f>VLOOKUP(C454,'Member Details (HOF Only)'!$A$2:$U$219,4,FALSE)</f>
        <v>#N/A</v>
      </c>
      <c r="R454" s="13"/>
      <c r="S454" s="95" t="e">
        <f>VLOOKUP(C454,'Member Details (HOF Only)'!$A$2:$U$219,7,FALSE)</f>
        <v>#N/A</v>
      </c>
      <c r="T454" s="11">
        <f t="shared" si="7"/>
        <v>0</v>
      </c>
    </row>
    <row r="455" spans="1:20" x14ac:dyDescent="0.2">
      <c r="A455" s="18"/>
      <c r="B455" s="85"/>
      <c r="C455" s="19"/>
      <c r="D455" s="31"/>
      <c r="E455" s="24"/>
      <c r="F455" s="16"/>
      <c r="G455" s="16"/>
      <c r="H455" s="16"/>
      <c r="I455" s="16"/>
      <c r="J455" s="20"/>
      <c r="K455" s="16"/>
      <c r="L455" s="16"/>
      <c r="M455" s="16"/>
      <c r="N455" s="16"/>
      <c r="O455" s="16" t="str">
        <f>IF(ISNA(VLOOKUP(C455,'Auction Summary'!$P$3:$R$600,2,FALSE)),"",VLOOKUP(C455,'Auction Summary'!$P$3:$R$600,2,FALSE))</f>
        <v/>
      </c>
      <c r="P455" s="16"/>
      <c r="Q455" s="95" t="e">
        <f>VLOOKUP(C455,'Member Details (HOF Only)'!$A$2:$U$219,4,FALSE)</f>
        <v>#N/A</v>
      </c>
      <c r="R455" s="13"/>
      <c r="S455" s="95" t="e">
        <f>VLOOKUP(C455,'Member Details (HOF Only)'!$A$2:$U$219,7,FALSE)</f>
        <v>#N/A</v>
      </c>
      <c r="T455" s="11">
        <f t="shared" si="7"/>
        <v>0</v>
      </c>
    </row>
    <row r="456" spans="1:20" x14ac:dyDescent="0.2">
      <c r="A456" s="18"/>
      <c r="B456" s="85"/>
      <c r="C456" s="19"/>
      <c r="D456" s="31"/>
      <c r="E456" s="24"/>
      <c r="F456" s="16"/>
      <c r="G456" s="16"/>
      <c r="H456" s="16"/>
      <c r="I456" s="16"/>
      <c r="J456" s="20"/>
      <c r="K456" s="16"/>
      <c r="L456" s="16"/>
      <c r="M456" s="16"/>
      <c r="N456" s="16"/>
      <c r="O456" s="16" t="str">
        <f>IF(ISNA(VLOOKUP(C456,'Auction Summary'!$P$3:$R$600,2,FALSE)),"",VLOOKUP(C456,'Auction Summary'!$P$3:$R$600,2,FALSE))</f>
        <v/>
      </c>
      <c r="P456" s="16"/>
      <c r="Q456" s="95" t="e">
        <f>VLOOKUP(C456,'Member Details (HOF Only)'!$A$2:$U$219,4,FALSE)</f>
        <v>#N/A</v>
      </c>
      <c r="R456" s="13"/>
      <c r="S456" s="95" t="e">
        <f>VLOOKUP(C456,'Member Details (HOF Only)'!$A$2:$U$219,7,FALSE)</f>
        <v>#N/A</v>
      </c>
      <c r="T456" s="11">
        <f t="shared" si="7"/>
        <v>0</v>
      </c>
    </row>
    <row r="457" spans="1:20" x14ac:dyDescent="0.2">
      <c r="A457" s="18"/>
      <c r="B457" s="85"/>
      <c r="C457" s="19"/>
      <c r="D457" s="31"/>
      <c r="E457" s="24"/>
      <c r="F457" s="16"/>
      <c r="G457" s="16"/>
      <c r="H457" s="16"/>
      <c r="I457" s="16"/>
      <c r="J457" s="20"/>
      <c r="K457" s="16"/>
      <c r="L457" s="16"/>
      <c r="M457" s="16"/>
      <c r="N457" s="16"/>
      <c r="O457" s="16" t="str">
        <f>IF(ISNA(VLOOKUP(C457,'Auction Summary'!$P$3:$R$600,2,FALSE)),"",VLOOKUP(C457,'Auction Summary'!$P$3:$R$600,2,FALSE))</f>
        <v/>
      </c>
      <c r="P457" s="16"/>
      <c r="Q457" s="95" t="e">
        <f>VLOOKUP(C457,'Member Details (HOF Only)'!$A$2:$U$219,4,FALSE)</f>
        <v>#N/A</v>
      </c>
      <c r="R457" s="13"/>
      <c r="S457" s="95" t="e">
        <f>VLOOKUP(C457,'Member Details (HOF Only)'!$A$2:$U$219,7,FALSE)</f>
        <v>#N/A</v>
      </c>
      <c r="T457" s="11">
        <f t="shared" si="7"/>
        <v>0</v>
      </c>
    </row>
    <row r="458" spans="1:20" x14ac:dyDescent="0.2">
      <c r="A458" s="18"/>
      <c r="B458" s="85"/>
      <c r="C458" s="19"/>
      <c r="D458" s="31"/>
      <c r="E458" s="24"/>
      <c r="F458" s="16"/>
      <c r="G458" s="16"/>
      <c r="H458" s="16"/>
      <c r="I458" s="16"/>
      <c r="J458" s="20"/>
      <c r="K458" s="16"/>
      <c r="L458" s="16"/>
      <c r="M458" s="16"/>
      <c r="N458" s="16"/>
      <c r="O458" s="16" t="str">
        <f>IF(ISNA(VLOOKUP(C458,'Auction Summary'!$P$3:$R$600,2,FALSE)),"",VLOOKUP(C458,'Auction Summary'!$P$3:$R$600,2,FALSE))</f>
        <v/>
      </c>
      <c r="P458" s="16"/>
      <c r="Q458" s="95" t="e">
        <f>VLOOKUP(C458,'Member Details (HOF Only)'!$A$2:$U$219,4,FALSE)</f>
        <v>#N/A</v>
      </c>
      <c r="R458" s="13"/>
      <c r="S458" s="95" t="e">
        <f>VLOOKUP(C458,'Member Details (HOF Only)'!$A$2:$U$219,7,FALSE)</f>
        <v>#N/A</v>
      </c>
      <c r="T458" s="11">
        <f t="shared" si="7"/>
        <v>0</v>
      </c>
    </row>
    <row r="459" spans="1:20" x14ac:dyDescent="0.2">
      <c r="A459" s="18"/>
      <c r="B459" s="85"/>
      <c r="C459" s="19"/>
      <c r="D459" s="31"/>
      <c r="E459" s="24"/>
      <c r="F459" s="16"/>
      <c r="G459" s="16"/>
      <c r="H459" s="16"/>
      <c r="I459" s="16"/>
      <c r="J459" s="20"/>
      <c r="K459" s="16"/>
      <c r="L459" s="16"/>
      <c r="M459" s="16"/>
      <c r="N459" s="16"/>
      <c r="O459" s="16" t="str">
        <f>IF(ISNA(VLOOKUP(C459,'Auction Summary'!$P$3:$R$600,2,FALSE)),"",VLOOKUP(C459,'Auction Summary'!$P$3:$R$600,2,FALSE))</f>
        <v/>
      </c>
      <c r="P459" s="16"/>
      <c r="Q459" s="95" t="e">
        <f>VLOOKUP(C459,'Member Details (HOF Only)'!$A$2:$U$219,4,FALSE)</f>
        <v>#N/A</v>
      </c>
      <c r="R459" s="13"/>
      <c r="S459" s="95" t="e">
        <f>VLOOKUP(C459,'Member Details (HOF Only)'!$A$2:$U$219,7,FALSE)</f>
        <v>#N/A</v>
      </c>
      <c r="T459" s="11">
        <f t="shared" si="7"/>
        <v>0</v>
      </c>
    </row>
    <row r="460" spans="1:20" x14ac:dyDescent="0.2">
      <c r="A460" s="18"/>
      <c r="B460" s="85"/>
      <c r="C460" s="19"/>
      <c r="D460" s="31"/>
      <c r="E460" s="24"/>
      <c r="F460" s="16"/>
      <c r="G460" s="16"/>
      <c r="H460" s="16"/>
      <c r="I460" s="16"/>
      <c r="J460" s="20"/>
      <c r="K460" s="16"/>
      <c r="L460" s="16"/>
      <c r="M460" s="16"/>
      <c r="N460" s="16"/>
      <c r="O460" s="16" t="str">
        <f>IF(ISNA(VLOOKUP(C460,'Auction Summary'!$P$3:$R$600,2,FALSE)),"",VLOOKUP(C460,'Auction Summary'!$P$3:$R$600,2,FALSE))</f>
        <v/>
      </c>
      <c r="P460" s="16"/>
      <c r="Q460" s="95" t="e">
        <f>VLOOKUP(C460,'Member Details (HOF Only)'!$A$2:$U$219,4,FALSE)</f>
        <v>#N/A</v>
      </c>
      <c r="R460" s="13"/>
      <c r="S460" s="95" t="e">
        <f>VLOOKUP(C460,'Member Details (HOF Only)'!$A$2:$U$219,7,FALSE)</f>
        <v>#N/A</v>
      </c>
      <c r="T460" s="11">
        <f t="shared" si="7"/>
        <v>0</v>
      </c>
    </row>
    <row r="461" spans="1:20" x14ac:dyDescent="0.2">
      <c r="A461" s="18"/>
      <c r="B461" s="85"/>
      <c r="C461" s="19"/>
      <c r="D461" s="31"/>
      <c r="E461" s="24"/>
      <c r="F461" s="16"/>
      <c r="G461" s="16"/>
      <c r="H461" s="16"/>
      <c r="I461" s="16"/>
      <c r="J461" s="20"/>
      <c r="K461" s="16"/>
      <c r="L461" s="16"/>
      <c r="M461" s="16"/>
      <c r="N461" s="16"/>
      <c r="O461" s="16" t="str">
        <f>IF(ISNA(VLOOKUP(C461,'Auction Summary'!$P$3:$R$600,2,FALSE)),"",VLOOKUP(C461,'Auction Summary'!$P$3:$R$600,2,FALSE))</f>
        <v/>
      </c>
      <c r="P461" s="16"/>
      <c r="Q461" s="95" t="e">
        <f>VLOOKUP(C461,'Member Details (HOF Only)'!$A$2:$U$219,4,FALSE)</f>
        <v>#N/A</v>
      </c>
      <c r="R461" s="13"/>
      <c r="S461" s="95" t="e">
        <f>VLOOKUP(C461,'Member Details (HOF Only)'!$A$2:$U$219,7,FALSE)</f>
        <v>#N/A</v>
      </c>
      <c r="T461" s="11">
        <f t="shared" si="7"/>
        <v>0</v>
      </c>
    </row>
    <row r="462" spans="1:20" x14ac:dyDescent="0.2">
      <c r="A462" s="18"/>
      <c r="B462" s="85"/>
      <c r="C462" s="19"/>
      <c r="D462" s="31"/>
      <c r="E462" s="24"/>
      <c r="F462" s="16"/>
      <c r="G462" s="16"/>
      <c r="H462" s="16"/>
      <c r="I462" s="16"/>
      <c r="J462" s="20"/>
      <c r="K462" s="16"/>
      <c r="L462" s="16"/>
      <c r="M462" s="16"/>
      <c r="N462" s="16"/>
      <c r="O462" s="16" t="str">
        <f>IF(ISNA(VLOOKUP(C462,'Auction Summary'!$P$3:$R$600,2,FALSE)),"",VLOOKUP(C462,'Auction Summary'!$P$3:$R$600,2,FALSE))</f>
        <v/>
      </c>
      <c r="P462" s="16"/>
      <c r="Q462" s="95" t="e">
        <f>VLOOKUP(C462,'Member Details (HOF Only)'!$A$2:$U$219,4,FALSE)</f>
        <v>#N/A</v>
      </c>
      <c r="R462" s="13"/>
      <c r="S462" s="95" t="e">
        <f>VLOOKUP(C462,'Member Details (HOF Only)'!$A$2:$U$219,7,FALSE)</f>
        <v>#N/A</v>
      </c>
      <c r="T462" s="11">
        <f t="shared" si="7"/>
        <v>0</v>
      </c>
    </row>
    <row r="463" spans="1:20" x14ac:dyDescent="0.2">
      <c r="A463" s="18"/>
      <c r="B463" s="85"/>
      <c r="C463" s="19"/>
      <c r="D463" s="31"/>
      <c r="E463" s="24"/>
      <c r="F463" s="16"/>
      <c r="G463" s="16"/>
      <c r="H463" s="16"/>
      <c r="I463" s="16"/>
      <c r="J463" s="20"/>
      <c r="K463" s="16"/>
      <c r="L463" s="16"/>
      <c r="M463" s="16"/>
      <c r="N463" s="16"/>
      <c r="O463" s="16" t="str">
        <f>IF(ISNA(VLOOKUP(C463,'Auction Summary'!$P$3:$R$600,2,FALSE)),"",VLOOKUP(C463,'Auction Summary'!$P$3:$R$600,2,FALSE))</f>
        <v/>
      </c>
      <c r="P463" s="16"/>
      <c r="Q463" s="95" t="e">
        <f>VLOOKUP(C463,'Member Details (HOF Only)'!$A$2:$U$219,4,FALSE)</f>
        <v>#N/A</v>
      </c>
      <c r="R463" s="13"/>
      <c r="S463" s="95" t="e">
        <f>VLOOKUP(C463,'Member Details (HOF Only)'!$A$2:$U$219,7,FALSE)</f>
        <v>#N/A</v>
      </c>
      <c r="T463" s="11">
        <f t="shared" si="7"/>
        <v>0</v>
      </c>
    </row>
    <row r="464" spans="1:20" x14ac:dyDescent="0.2">
      <c r="A464" s="18"/>
      <c r="B464" s="85"/>
      <c r="C464" s="19"/>
      <c r="D464" s="31"/>
      <c r="E464" s="24"/>
      <c r="F464" s="16"/>
      <c r="G464" s="16"/>
      <c r="H464" s="16"/>
      <c r="I464" s="16"/>
      <c r="J464" s="20"/>
      <c r="K464" s="16"/>
      <c r="L464" s="16"/>
      <c r="M464" s="16"/>
      <c r="N464" s="16"/>
      <c r="O464" s="16" t="str">
        <f>IF(ISNA(VLOOKUP(C464,'Auction Summary'!$P$3:$R$600,2,FALSE)),"",VLOOKUP(C464,'Auction Summary'!$P$3:$R$600,2,FALSE))</f>
        <v/>
      </c>
      <c r="P464" s="16"/>
      <c r="Q464" s="95" t="e">
        <f>VLOOKUP(C464,'Member Details (HOF Only)'!$A$2:$U$219,4,FALSE)</f>
        <v>#N/A</v>
      </c>
      <c r="R464" s="13"/>
      <c r="S464" s="95" t="e">
        <f>VLOOKUP(C464,'Member Details (HOF Only)'!$A$2:$U$219,7,FALSE)</f>
        <v>#N/A</v>
      </c>
      <c r="T464" s="11">
        <f t="shared" si="7"/>
        <v>0</v>
      </c>
    </row>
    <row r="465" spans="1:20" x14ac:dyDescent="0.2">
      <c r="A465" s="18"/>
      <c r="B465" s="85"/>
      <c r="C465" s="19"/>
      <c r="D465" s="31"/>
      <c r="E465" s="24"/>
      <c r="F465" s="16"/>
      <c r="G465" s="16"/>
      <c r="H465" s="16"/>
      <c r="I465" s="16"/>
      <c r="J465" s="20"/>
      <c r="K465" s="16"/>
      <c r="L465" s="16"/>
      <c r="M465" s="16"/>
      <c r="N465" s="16"/>
      <c r="O465" s="16" t="str">
        <f>IF(ISNA(VLOOKUP(C465,'Auction Summary'!$P$3:$R$600,2,FALSE)),"",VLOOKUP(C465,'Auction Summary'!$P$3:$R$600,2,FALSE))</f>
        <v/>
      </c>
      <c r="P465" s="16"/>
      <c r="Q465" s="95" t="e">
        <f>VLOOKUP(C465,'Member Details (HOF Only)'!$A$2:$U$219,4,FALSE)</f>
        <v>#N/A</v>
      </c>
      <c r="R465" s="13"/>
      <c r="S465" s="95" t="e">
        <f>VLOOKUP(C465,'Member Details (HOF Only)'!$A$2:$U$219,7,FALSE)</f>
        <v>#N/A</v>
      </c>
      <c r="T465" s="11">
        <f t="shared" si="7"/>
        <v>0</v>
      </c>
    </row>
    <row r="466" spans="1:20" x14ac:dyDescent="0.2">
      <c r="A466" s="18"/>
      <c r="B466" s="85"/>
      <c r="C466" s="19"/>
      <c r="D466" s="31"/>
      <c r="E466" s="24"/>
      <c r="F466" s="16"/>
      <c r="G466" s="16"/>
      <c r="H466" s="16"/>
      <c r="I466" s="16"/>
      <c r="J466" s="20"/>
      <c r="K466" s="16"/>
      <c r="L466" s="16"/>
      <c r="M466" s="16"/>
      <c r="N466" s="16"/>
      <c r="O466" s="16" t="str">
        <f>IF(ISNA(VLOOKUP(C466,'Auction Summary'!$P$3:$R$600,2,FALSE)),"",VLOOKUP(C466,'Auction Summary'!$P$3:$R$600,2,FALSE))</f>
        <v/>
      </c>
      <c r="P466" s="16"/>
      <c r="Q466" s="95" t="e">
        <f>VLOOKUP(C466,'Member Details (HOF Only)'!$A$2:$U$219,4,FALSE)</f>
        <v>#N/A</v>
      </c>
      <c r="R466" s="13"/>
      <c r="S466" s="95" t="e">
        <f>VLOOKUP(C466,'Member Details (HOF Only)'!$A$2:$U$219,7,FALSE)</f>
        <v>#N/A</v>
      </c>
      <c r="T466" s="11">
        <f t="shared" si="7"/>
        <v>0</v>
      </c>
    </row>
    <row r="467" spans="1:20" x14ac:dyDescent="0.2">
      <c r="A467" s="18"/>
      <c r="B467" s="85"/>
      <c r="C467" s="19"/>
      <c r="D467" s="31"/>
      <c r="E467" s="24"/>
      <c r="F467" s="16"/>
      <c r="G467" s="16"/>
      <c r="H467" s="16"/>
      <c r="I467" s="16"/>
      <c r="J467" s="20"/>
      <c r="K467" s="16"/>
      <c r="L467" s="16"/>
      <c r="M467" s="16"/>
      <c r="N467" s="16"/>
      <c r="O467" s="16" t="str">
        <f>IF(ISNA(VLOOKUP(C467,'Auction Summary'!$P$3:$R$600,2,FALSE)),"",VLOOKUP(C467,'Auction Summary'!$P$3:$R$600,2,FALSE))</f>
        <v/>
      </c>
      <c r="P467" s="16"/>
      <c r="Q467" s="95" t="e">
        <f>VLOOKUP(C467,'Member Details (HOF Only)'!$A$2:$U$219,4,FALSE)</f>
        <v>#N/A</v>
      </c>
      <c r="R467" s="13"/>
      <c r="S467" s="95" t="e">
        <f>VLOOKUP(C467,'Member Details (HOF Only)'!$A$2:$U$219,7,FALSE)</f>
        <v>#N/A</v>
      </c>
      <c r="T467" s="11">
        <f t="shared" si="7"/>
        <v>0</v>
      </c>
    </row>
    <row r="468" spans="1:20" x14ac:dyDescent="0.2">
      <c r="A468" s="18"/>
      <c r="B468" s="85"/>
      <c r="C468" s="19"/>
      <c r="D468" s="31"/>
      <c r="E468" s="24"/>
      <c r="F468" s="16"/>
      <c r="G468" s="16"/>
      <c r="H468" s="16"/>
      <c r="I468" s="16"/>
      <c r="J468" s="20"/>
      <c r="K468" s="16"/>
      <c r="L468" s="16"/>
      <c r="M468" s="16"/>
      <c r="N468" s="16"/>
      <c r="O468" s="16" t="str">
        <f>IF(ISNA(VLOOKUP(C468,'Auction Summary'!$P$3:$R$600,2,FALSE)),"",VLOOKUP(C468,'Auction Summary'!$P$3:$R$600,2,FALSE))</f>
        <v/>
      </c>
      <c r="P468" s="16"/>
      <c r="Q468" s="95" t="e">
        <f>VLOOKUP(C468,'Member Details (HOF Only)'!$A$2:$U$219,4,FALSE)</f>
        <v>#N/A</v>
      </c>
      <c r="R468" s="13"/>
      <c r="S468" s="95" t="e">
        <f>VLOOKUP(C468,'Member Details (HOF Only)'!$A$2:$U$219,7,FALSE)</f>
        <v>#N/A</v>
      </c>
      <c r="T468" s="11">
        <f t="shared" si="7"/>
        <v>0</v>
      </c>
    </row>
    <row r="469" spans="1:20" x14ac:dyDescent="0.2">
      <c r="A469" s="18"/>
      <c r="B469" s="85"/>
      <c r="C469" s="19"/>
      <c r="D469" s="31"/>
      <c r="E469" s="24"/>
      <c r="F469" s="16"/>
      <c r="G469" s="16"/>
      <c r="H469" s="16"/>
      <c r="I469" s="16"/>
      <c r="J469" s="20"/>
      <c r="K469" s="16"/>
      <c r="L469" s="16"/>
      <c r="M469" s="16"/>
      <c r="N469" s="16"/>
      <c r="O469" s="16" t="str">
        <f>IF(ISNA(VLOOKUP(C469,'Auction Summary'!$P$3:$R$600,2,FALSE)),"",VLOOKUP(C469,'Auction Summary'!$P$3:$R$600,2,FALSE))</f>
        <v/>
      </c>
      <c r="P469" s="16"/>
      <c r="Q469" s="95" t="e">
        <f>VLOOKUP(C469,'Member Details (HOF Only)'!$A$2:$U$219,4,FALSE)</f>
        <v>#N/A</v>
      </c>
      <c r="R469" s="13"/>
      <c r="S469" s="95" t="e">
        <f>VLOOKUP(C469,'Member Details (HOF Only)'!$A$2:$U$219,7,FALSE)</f>
        <v>#N/A</v>
      </c>
      <c r="T469" s="11">
        <f t="shared" si="7"/>
        <v>0</v>
      </c>
    </row>
    <row r="470" spans="1:20" x14ac:dyDescent="0.2">
      <c r="A470" s="18"/>
      <c r="B470" s="85"/>
      <c r="C470" s="19"/>
      <c r="D470" s="31"/>
      <c r="E470" s="24"/>
      <c r="F470" s="16"/>
      <c r="G470" s="16"/>
      <c r="H470" s="16"/>
      <c r="I470" s="16"/>
      <c r="J470" s="20"/>
      <c r="K470" s="16"/>
      <c r="L470" s="16"/>
      <c r="M470" s="16"/>
      <c r="N470" s="16"/>
      <c r="O470" s="16" t="str">
        <f>IF(ISNA(VLOOKUP(C470,'Auction Summary'!$P$3:$R$600,2,FALSE)),"",VLOOKUP(C470,'Auction Summary'!$P$3:$R$600,2,FALSE))</f>
        <v/>
      </c>
      <c r="P470" s="16"/>
      <c r="Q470" s="95" t="e">
        <f>VLOOKUP(C470,'Member Details (HOF Only)'!$A$2:$U$219,4,FALSE)</f>
        <v>#N/A</v>
      </c>
      <c r="R470" s="13"/>
      <c r="S470" s="95" t="e">
        <f>VLOOKUP(C470,'Member Details (HOF Only)'!$A$2:$U$219,7,FALSE)</f>
        <v>#N/A</v>
      </c>
      <c r="T470" s="11">
        <f t="shared" si="7"/>
        <v>0</v>
      </c>
    </row>
    <row r="471" spans="1:20" x14ac:dyDescent="0.2">
      <c r="A471" s="18"/>
      <c r="B471" s="85"/>
      <c r="C471" s="19"/>
      <c r="D471" s="31"/>
      <c r="E471" s="24"/>
      <c r="F471" s="16"/>
      <c r="G471" s="16"/>
      <c r="H471" s="16"/>
      <c r="I471" s="16"/>
      <c r="J471" s="20"/>
      <c r="K471" s="16"/>
      <c r="L471" s="16"/>
      <c r="M471" s="16"/>
      <c r="N471" s="16"/>
      <c r="O471" s="16" t="str">
        <f>IF(ISNA(VLOOKUP(C471,'Auction Summary'!$P$3:$R$600,2,FALSE)),"",VLOOKUP(C471,'Auction Summary'!$P$3:$R$600,2,FALSE))</f>
        <v/>
      </c>
      <c r="P471" s="16"/>
      <c r="Q471" s="95" t="e">
        <f>VLOOKUP(C471,'Member Details (HOF Only)'!$A$2:$U$219,4,FALSE)</f>
        <v>#N/A</v>
      </c>
      <c r="R471" s="13"/>
      <c r="S471" s="95" t="e">
        <f>VLOOKUP(C471,'Member Details (HOF Only)'!$A$2:$U$219,7,FALSE)</f>
        <v>#N/A</v>
      </c>
      <c r="T471" s="11">
        <f t="shared" si="7"/>
        <v>0</v>
      </c>
    </row>
    <row r="472" spans="1:20" x14ac:dyDescent="0.2">
      <c r="A472" s="18"/>
      <c r="B472" s="85"/>
      <c r="C472" s="19"/>
      <c r="D472" s="31"/>
      <c r="E472" s="24"/>
      <c r="F472" s="16"/>
      <c r="G472" s="16"/>
      <c r="H472" s="16"/>
      <c r="I472" s="16"/>
      <c r="J472" s="20"/>
      <c r="K472" s="16"/>
      <c r="L472" s="16"/>
      <c r="M472" s="16"/>
      <c r="N472" s="16"/>
      <c r="O472" s="16" t="str">
        <f>IF(ISNA(VLOOKUP(C472,'Auction Summary'!$P$3:$R$600,2,FALSE)),"",VLOOKUP(C472,'Auction Summary'!$P$3:$R$600,2,FALSE))</f>
        <v/>
      </c>
      <c r="P472" s="16"/>
      <c r="Q472" s="95" t="e">
        <f>VLOOKUP(C472,'Member Details (HOF Only)'!$A$2:$U$219,4,FALSE)</f>
        <v>#N/A</v>
      </c>
      <c r="R472" s="13"/>
      <c r="S472" s="95" t="e">
        <f>VLOOKUP(C472,'Member Details (HOF Only)'!$A$2:$U$219,7,FALSE)</f>
        <v>#N/A</v>
      </c>
      <c r="T472" s="11">
        <f t="shared" si="7"/>
        <v>0</v>
      </c>
    </row>
    <row r="473" spans="1:20" x14ac:dyDescent="0.2">
      <c r="A473" s="18"/>
      <c r="B473" s="85"/>
      <c r="C473" s="19"/>
      <c r="D473" s="31"/>
      <c r="E473" s="24"/>
      <c r="F473" s="16"/>
      <c r="G473" s="16"/>
      <c r="H473" s="16"/>
      <c r="I473" s="16"/>
      <c r="J473" s="20"/>
      <c r="K473" s="16"/>
      <c r="L473" s="16"/>
      <c r="M473" s="16"/>
      <c r="N473" s="16"/>
      <c r="O473" s="16" t="str">
        <f>IF(ISNA(VLOOKUP(C473,'Auction Summary'!$P$3:$R$600,2,FALSE)),"",VLOOKUP(C473,'Auction Summary'!$P$3:$R$600,2,FALSE))</f>
        <v/>
      </c>
      <c r="P473" s="16"/>
      <c r="Q473" s="95" t="e">
        <f>VLOOKUP(C473,'Member Details (HOF Only)'!$A$2:$U$219,4,FALSE)</f>
        <v>#N/A</v>
      </c>
      <c r="R473" s="13"/>
      <c r="S473" s="95" t="e">
        <f>VLOOKUP(C473,'Member Details (HOF Only)'!$A$2:$U$219,7,FALSE)</f>
        <v>#N/A</v>
      </c>
      <c r="T473" s="11">
        <f t="shared" si="7"/>
        <v>0</v>
      </c>
    </row>
    <row r="474" spans="1:20" x14ac:dyDescent="0.2">
      <c r="A474" s="18"/>
      <c r="B474" s="85"/>
      <c r="C474" s="19"/>
      <c r="D474" s="31"/>
      <c r="E474" s="24"/>
      <c r="F474" s="16"/>
      <c r="G474" s="16"/>
      <c r="H474" s="16"/>
      <c r="I474" s="16"/>
      <c r="J474" s="20"/>
      <c r="K474" s="16"/>
      <c r="L474" s="16"/>
      <c r="M474" s="16"/>
      <c r="N474" s="16"/>
      <c r="O474" s="16" t="str">
        <f>IF(ISNA(VLOOKUP(C474,'Auction Summary'!$P$3:$R$600,2,FALSE)),"",VLOOKUP(C474,'Auction Summary'!$P$3:$R$600,2,FALSE))</f>
        <v/>
      </c>
      <c r="P474" s="16"/>
      <c r="Q474" s="95" t="e">
        <f>VLOOKUP(C474,'Member Details (HOF Only)'!$A$2:$U$219,4,FALSE)</f>
        <v>#N/A</v>
      </c>
      <c r="R474" s="13"/>
      <c r="S474" s="95" t="e">
        <f>VLOOKUP(C474,'Member Details (HOF Only)'!$A$2:$U$219,7,FALSE)</f>
        <v>#N/A</v>
      </c>
      <c r="T474" s="11">
        <f t="shared" si="7"/>
        <v>0</v>
      </c>
    </row>
    <row r="475" spans="1:20" x14ac:dyDescent="0.2">
      <c r="A475" s="18"/>
      <c r="B475" s="85"/>
      <c r="C475" s="19"/>
      <c r="D475" s="31"/>
      <c r="E475" s="24"/>
      <c r="F475" s="16"/>
      <c r="G475" s="16"/>
      <c r="H475" s="16"/>
      <c r="I475" s="16"/>
      <c r="J475" s="20"/>
      <c r="K475" s="16"/>
      <c r="L475" s="16"/>
      <c r="M475" s="16"/>
      <c r="N475" s="16"/>
      <c r="O475" s="16" t="str">
        <f>IF(ISNA(VLOOKUP(C475,'Auction Summary'!$P$3:$R$600,2,FALSE)),"",VLOOKUP(C475,'Auction Summary'!$P$3:$R$600,2,FALSE))</f>
        <v/>
      </c>
      <c r="P475" s="16"/>
      <c r="Q475" s="95" t="e">
        <f>VLOOKUP(C475,'Member Details (HOF Only)'!$A$2:$U$219,4,FALSE)</f>
        <v>#N/A</v>
      </c>
      <c r="R475" s="13"/>
      <c r="S475" s="95" t="e">
        <f>VLOOKUP(C475,'Member Details (HOF Only)'!$A$2:$U$219,7,FALSE)</f>
        <v>#N/A</v>
      </c>
      <c r="T475" s="11">
        <f t="shared" si="7"/>
        <v>0</v>
      </c>
    </row>
    <row r="476" spans="1:20" x14ac:dyDescent="0.2">
      <c r="A476" s="18"/>
      <c r="B476" s="85"/>
      <c r="C476" s="19"/>
      <c r="D476" s="31"/>
      <c r="E476" s="24"/>
      <c r="F476" s="16"/>
      <c r="G476" s="16"/>
      <c r="H476" s="16"/>
      <c r="I476" s="16"/>
      <c r="J476" s="20"/>
      <c r="K476" s="16"/>
      <c r="L476" s="16"/>
      <c r="M476" s="16"/>
      <c r="N476" s="16"/>
      <c r="O476" s="16" t="str">
        <f>IF(ISNA(VLOOKUP(C476,'Auction Summary'!$P$3:$R$600,2,FALSE)),"",VLOOKUP(C476,'Auction Summary'!$P$3:$R$600,2,FALSE))</f>
        <v/>
      </c>
      <c r="P476" s="16"/>
      <c r="Q476" s="95" t="e">
        <f>VLOOKUP(C476,'Member Details (HOF Only)'!$A$2:$U$219,4,FALSE)</f>
        <v>#N/A</v>
      </c>
      <c r="R476" s="13"/>
      <c r="S476" s="95" t="e">
        <f>VLOOKUP(C476,'Member Details (HOF Only)'!$A$2:$U$219,7,FALSE)</f>
        <v>#N/A</v>
      </c>
      <c r="T476" s="11">
        <f t="shared" si="7"/>
        <v>0</v>
      </c>
    </row>
    <row r="477" spans="1:20" x14ac:dyDescent="0.2">
      <c r="A477" s="18"/>
      <c r="B477" s="85"/>
      <c r="C477" s="19"/>
      <c r="D477" s="31"/>
      <c r="E477" s="24"/>
      <c r="F477" s="16"/>
      <c r="G477" s="16"/>
      <c r="H477" s="16"/>
      <c r="I477" s="16"/>
      <c r="J477" s="20"/>
      <c r="K477" s="16"/>
      <c r="L477" s="16"/>
      <c r="M477" s="16"/>
      <c r="N477" s="16"/>
      <c r="O477" s="16" t="str">
        <f>IF(ISNA(VLOOKUP(C477,'Auction Summary'!$P$3:$R$600,2,FALSE)),"",VLOOKUP(C477,'Auction Summary'!$P$3:$R$600,2,FALSE))</f>
        <v/>
      </c>
      <c r="P477" s="16"/>
      <c r="Q477" s="95" t="e">
        <f>VLOOKUP(C477,'Member Details (HOF Only)'!$A$2:$U$219,4,FALSE)</f>
        <v>#N/A</v>
      </c>
      <c r="R477" s="13"/>
      <c r="S477" s="95" t="e">
        <f>VLOOKUP(C477,'Member Details (HOF Only)'!$A$2:$U$219,7,FALSE)</f>
        <v>#N/A</v>
      </c>
      <c r="T477" s="11">
        <f t="shared" si="7"/>
        <v>0</v>
      </c>
    </row>
    <row r="478" spans="1:20" x14ac:dyDescent="0.2">
      <c r="A478" s="18"/>
      <c r="B478" s="85"/>
      <c r="C478" s="19"/>
      <c r="D478" s="31"/>
      <c r="E478" s="24"/>
      <c r="F478" s="16"/>
      <c r="G478" s="16"/>
      <c r="H478" s="16"/>
      <c r="I478" s="16"/>
      <c r="J478" s="20"/>
      <c r="K478" s="16"/>
      <c r="L478" s="16"/>
      <c r="M478" s="16"/>
      <c r="N478" s="16"/>
      <c r="O478" s="16" t="str">
        <f>IF(ISNA(VLOOKUP(C478,'Auction Summary'!$P$3:$R$600,2,FALSE)),"",VLOOKUP(C478,'Auction Summary'!$P$3:$R$600,2,FALSE))</f>
        <v/>
      </c>
      <c r="P478" s="16"/>
      <c r="Q478" s="95" t="e">
        <f>VLOOKUP(C478,'Member Details (HOF Only)'!$A$2:$U$219,4,FALSE)</f>
        <v>#N/A</v>
      </c>
      <c r="R478" s="13"/>
      <c r="S478" s="95" t="e">
        <f>VLOOKUP(C478,'Member Details (HOF Only)'!$A$2:$U$219,7,FALSE)</f>
        <v>#N/A</v>
      </c>
      <c r="T478" s="11">
        <f t="shared" si="7"/>
        <v>0</v>
      </c>
    </row>
    <row r="479" spans="1:20" x14ac:dyDescent="0.2">
      <c r="A479" s="18"/>
      <c r="B479" s="85"/>
      <c r="C479" s="19"/>
      <c r="D479" s="31"/>
      <c r="E479" s="24"/>
      <c r="F479" s="16"/>
      <c r="G479" s="16"/>
      <c r="H479" s="16"/>
      <c r="I479" s="16"/>
      <c r="J479" s="20"/>
      <c r="K479" s="16"/>
      <c r="L479" s="16"/>
      <c r="M479" s="16"/>
      <c r="N479" s="16"/>
      <c r="O479" s="16" t="str">
        <f>IF(ISNA(VLOOKUP(C479,'Auction Summary'!$P$3:$R$600,2,FALSE)),"",VLOOKUP(C479,'Auction Summary'!$P$3:$R$600,2,FALSE))</f>
        <v/>
      </c>
      <c r="P479" s="16"/>
      <c r="Q479" s="95" t="e">
        <f>VLOOKUP(C479,'Member Details (HOF Only)'!$A$2:$U$219,4,FALSE)</f>
        <v>#N/A</v>
      </c>
      <c r="R479" s="13"/>
      <c r="S479" s="95" t="e">
        <f>VLOOKUP(C479,'Member Details (HOF Only)'!$A$2:$U$219,7,FALSE)</f>
        <v>#N/A</v>
      </c>
      <c r="T479" s="11">
        <f t="shared" si="7"/>
        <v>0</v>
      </c>
    </row>
    <row r="480" spans="1:20" x14ac:dyDescent="0.2">
      <c r="A480" s="18"/>
      <c r="B480" s="85"/>
      <c r="C480" s="19"/>
      <c r="D480" s="31"/>
      <c r="E480" s="24"/>
      <c r="F480" s="16"/>
      <c r="G480" s="16"/>
      <c r="H480" s="16"/>
      <c r="I480" s="16"/>
      <c r="J480" s="20"/>
      <c r="K480" s="16"/>
      <c r="L480" s="16"/>
      <c r="M480" s="16"/>
      <c r="N480" s="16"/>
      <c r="O480" s="16" t="str">
        <f>IF(ISNA(VLOOKUP(C480,'Auction Summary'!$P$3:$R$600,2,FALSE)),"",VLOOKUP(C480,'Auction Summary'!$P$3:$R$600,2,FALSE))</f>
        <v/>
      </c>
      <c r="P480" s="16"/>
      <c r="Q480" s="95" t="e">
        <f>VLOOKUP(C480,'Member Details (HOF Only)'!$A$2:$U$219,4,FALSE)</f>
        <v>#N/A</v>
      </c>
      <c r="R480" s="13"/>
      <c r="S480" s="95" t="e">
        <f>VLOOKUP(C480,'Member Details (HOF Only)'!$A$2:$U$219,7,FALSE)</f>
        <v>#N/A</v>
      </c>
      <c r="T480" s="11">
        <f t="shared" si="7"/>
        <v>0</v>
      </c>
    </row>
    <row r="481" spans="1:20" x14ac:dyDescent="0.2">
      <c r="A481" s="18"/>
      <c r="B481" s="85"/>
      <c r="C481" s="19"/>
      <c r="D481" s="31"/>
      <c r="E481" s="24"/>
      <c r="F481" s="16"/>
      <c r="G481" s="16"/>
      <c r="H481" s="16"/>
      <c r="I481" s="16"/>
      <c r="J481" s="20"/>
      <c r="K481" s="16"/>
      <c r="L481" s="16"/>
      <c r="M481" s="16"/>
      <c r="N481" s="16"/>
      <c r="O481" s="16" t="str">
        <f>IF(ISNA(VLOOKUP(C481,'Auction Summary'!$P$3:$R$600,2,FALSE)),"",VLOOKUP(C481,'Auction Summary'!$P$3:$R$600,2,FALSE))</f>
        <v/>
      </c>
      <c r="P481" s="16"/>
      <c r="Q481" s="95" t="e">
        <f>VLOOKUP(C481,'Member Details (HOF Only)'!$A$2:$U$219,4,FALSE)</f>
        <v>#N/A</v>
      </c>
      <c r="R481" s="13"/>
      <c r="S481" s="95" t="e">
        <f>VLOOKUP(C481,'Member Details (HOF Only)'!$A$2:$U$219,7,FALSE)</f>
        <v>#N/A</v>
      </c>
      <c r="T481" s="11">
        <f t="shared" si="7"/>
        <v>0</v>
      </c>
    </row>
    <row r="482" spans="1:20" x14ac:dyDescent="0.2">
      <c r="A482" s="18"/>
      <c r="B482" s="85"/>
      <c r="C482" s="19"/>
      <c r="D482" s="31"/>
      <c r="E482" s="24"/>
      <c r="F482" s="16"/>
      <c r="G482" s="16"/>
      <c r="H482" s="16"/>
      <c r="I482" s="16"/>
      <c r="J482" s="20"/>
      <c r="K482" s="16"/>
      <c r="L482" s="16"/>
      <c r="M482" s="16"/>
      <c r="N482" s="16"/>
      <c r="O482" s="16" t="str">
        <f>IF(ISNA(VLOOKUP(C482,'Auction Summary'!$P$3:$R$600,2,FALSE)),"",VLOOKUP(C482,'Auction Summary'!$P$3:$R$600,2,FALSE))</f>
        <v/>
      </c>
      <c r="P482" s="16"/>
      <c r="Q482" s="95" t="e">
        <f>VLOOKUP(C482,'Member Details (HOF Only)'!$A$2:$U$219,4,FALSE)</f>
        <v>#N/A</v>
      </c>
      <c r="R482" s="13"/>
      <c r="S482" s="95" t="e">
        <f>VLOOKUP(C482,'Member Details (HOF Only)'!$A$2:$U$219,7,FALSE)</f>
        <v>#N/A</v>
      </c>
      <c r="T482" s="11">
        <f t="shared" si="7"/>
        <v>0</v>
      </c>
    </row>
    <row r="483" spans="1:20" x14ac:dyDescent="0.2">
      <c r="A483" s="18"/>
      <c r="B483" s="85"/>
      <c r="C483" s="19"/>
      <c r="D483" s="31"/>
      <c r="E483" s="24"/>
      <c r="F483" s="16"/>
      <c r="G483" s="16"/>
      <c r="H483" s="16"/>
      <c r="I483" s="16"/>
      <c r="J483" s="20"/>
      <c r="K483" s="16"/>
      <c r="L483" s="16"/>
      <c r="M483" s="16"/>
      <c r="N483" s="16"/>
      <c r="O483" s="16" t="str">
        <f>IF(ISNA(VLOOKUP(C483,'Auction Summary'!$P$3:$R$600,2,FALSE)),"",VLOOKUP(C483,'Auction Summary'!$P$3:$R$600,2,FALSE))</f>
        <v/>
      </c>
      <c r="P483" s="16"/>
      <c r="Q483" s="95" t="e">
        <f>VLOOKUP(C483,'Member Details (HOF Only)'!$A$2:$U$219,4,FALSE)</f>
        <v>#N/A</v>
      </c>
      <c r="R483" s="13"/>
      <c r="S483" s="95" t="e">
        <f>VLOOKUP(C483,'Member Details (HOF Only)'!$A$2:$U$219,7,FALSE)</f>
        <v>#N/A</v>
      </c>
      <c r="T483" s="11">
        <f t="shared" si="7"/>
        <v>0</v>
      </c>
    </row>
    <row r="484" spans="1:20" x14ac:dyDescent="0.2">
      <c r="A484" s="18"/>
      <c r="B484" s="85"/>
      <c r="C484" s="19"/>
      <c r="D484" s="31"/>
      <c r="E484" s="24"/>
      <c r="F484" s="16"/>
      <c r="G484" s="16"/>
      <c r="H484" s="16"/>
      <c r="I484" s="16"/>
      <c r="J484" s="20"/>
      <c r="K484" s="16"/>
      <c r="L484" s="16"/>
      <c r="M484" s="16"/>
      <c r="N484" s="16"/>
      <c r="O484" s="16" t="str">
        <f>IF(ISNA(VLOOKUP(C484,'Auction Summary'!$P$3:$R$600,2,FALSE)),"",VLOOKUP(C484,'Auction Summary'!$P$3:$R$600,2,FALSE))</f>
        <v/>
      </c>
      <c r="P484" s="16"/>
      <c r="Q484" s="95" t="e">
        <f>VLOOKUP(C484,'Member Details (HOF Only)'!$A$2:$U$219,4,FALSE)</f>
        <v>#N/A</v>
      </c>
      <c r="R484" s="13"/>
      <c r="S484" s="95" t="e">
        <f>VLOOKUP(C484,'Member Details (HOF Only)'!$A$2:$U$219,7,FALSE)</f>
        <v>#N/A</v>
      </c>
      <c r="T484" s="11">
        <f t="shared" si="7"/>
        <v>0</v>
      </c>
    </row>
    <row r="485" spans="1:20" x14ac:dyDescent="0.2">
      <c r="A485" s="18"/>
      <c r="B485" s="85"/>
      <c r="C485" s="19"/>
      <c r="D485" s="31"/>
      <c r="E485" s="24"/>
      <c r="F485" s="16"/>
      <c r="G485" s="16"/>
      <c r="H485" s="16"/>
      <c r="I485" s="16"/>
      <c r="J485" s="20"/>
      <c r="K485" s="16"/>
      <c r="L485" s="16"/>
      <c r="M485" s="16"/>
      <c r="N485" s="16"/>
      <c r="O485" s="16" t="str">
        <f>IF(ISNA(VLOOKUP(C485,'Auction Summary'!$P$3:$R$600,2,FALSE)),"",VLOOKUP(C485,'Auction Summary'!$P$3:$R$600,2,FALSE))</f>
        <v/>
      </c>
      <c r="P485" s="16"/>
      <c r="Q485" s="95" t="e">
        <f>VLOOKUP(C485,'Member Details (HOF Only)'!$A$2:$U$219,4,FALSE)</f>
        <v>#N/A</v>
      </c>
      <c r="R485" s="13"/>
      <c r="S485" s="95" t="e">
        <f>VLOOKUP(C485,'Member Details (HOF Only)'!$A$2:$U$219,7,FALSE)</f>
        <v>#N/A</v>
      </c>
      <c r="T485" s="11">
        <f t="shared" si="7"/>
        <v>0</v>
      </c>
    </row>
    <row r="486" spans="1:20" x14ac:dyDescent="0.2">
      <c r="A486" s="18"/>
      <c r="B486" s="85"/>
      <c r="C486" s="19"/>
      <c r="D486" s="31"/>
      <c r="E486" s="24"/>
      <c r="F486" s="16"/>
      <c r="G486" s="16"/>
      <c r="H486" s="16"/>
      <c r="I486" s="16"/>
      <c r="J486" s="20"/>
      <c r="K486" s="16"/>
      <c r="L486" s="16"/>
      <c r="M486" s="16"/>
      <c r="N486" s="16"/>
      <c r="O486" s="16" t="str">
        <f>IF(ISNA(VLOOKUP(C486,'Auction Summary'!$P$3:$R$600,2,FALSE)),"",VLOOKUP(C486,'Auction Summary'!$P$3:$R$600,2,FALSE))</f>
        <v/>
      </c>
      <c r="P486" s="16"/>
      <c r="Q486" s="95" t="e">
        <f>VLOOKUP(C486,'Member Details (HOF Only)'!$A$2:$U$219,4,FALSE)</f>
        <v>#N/A</v>
      </c>
      <c r="R486" s="13"/>
      <c r="S486" s="95" t="e">
        <f>VLOOKUP(C486,'Member Details (HOF Only)'!$A$2:$U$219,7,FALSE)</f>
        <v>#N/A</v>
      </c>
      <c r="T486" s="11">
        <f t="shared" si="7"/>
        <v>0</v>
      </c>
    </row>
    <row r="487" spans="1:20" x14ac:dyDescent="0.2">
      <c r="A487" s="18"/>
      <c r="B487" s="85"/>
      <c r="C487" s="19"/>
      <c r="D487" s="31"/>
      <c r="E487" s="24"/>
      <c r="F487" s="16"/>
      <c r="G487" s="16"/>
      <c r="H487" s="16"/>
      <c r="I487" s="16"/>
      <c r="J487" s="20"/>
      <c r="K487" s="16"/>
      <c r="L487" s="16"/>
      <c r="M487" s="16"/>
      <c r="N487" s="16"/>
      <c r="O487" s="16" t="str">
        <f>IF(ISNA(VLOOKUP(C487,'Auction Summary'!$P$3:$R$600,2,FALSE)),"",VLOOKUP(C487,'Auction Summary'!$P$3:$R$600,2,FALSE))</f>
        <v/>
      </c>
      <c r="P487" s="16"/>
      <c r="Q487" s="95" t="e">
        <f>VLOOKUP(C487,'Member Details (HOF Only)'!$A$2:$U$219,4,FALSE)</f>
        <v>#N/A</v>
      </c>
      <c r="R487" s="13"/>
      <c r="S487" s="95" t="e">
        <f>VLOOKUP(C487,'Member Details (HOF Only)'!$A$2:$U$219,7,FALSE)</f>
        <v>#N/A</v>
      </c>
      <c r="T487" s="11">
        <f t="shared" si="7"/>
        <v>0</v>
      </c>
    </row>
    <row r="488" spans="1:20" x14ac:dyDescent="0.2">
      <c r="A488" s="18"/>
      <c r="B488" s="85"/>
      <c r="C488" s="19"/>
      <c r="D488" s="31"/>
      <c r="E488" s="24"/>
      <c r="F488" s="16"/>
      <c r="G488" s="16"/>
      <c r="H488" s="16"/>
      <c r="I488" s="16"/>
      <c r="J488" s="20"/>
      <c r="K488" s="16"/>
      <c r="L488" s="16"/>
      <c r="M488" s="16"/>
      <c r="N488" s="16"/>
      <c r="O488" s="16" t="str">
        <f>IF(ISNA(VLOOKUP(C488,'Auction Summary'!$P$3:$R$600,2,FALSE)),"",VLOOKUP(C488,'Auction Summary'!$P$3:$R$600,2,FALSE))</f>
        <v/>
      </c>
      <c r="P488" s="16"/>
      <c r="Q488" s="95" t="e">
        <f>VLOOKUP(C488,'Member Details (HOF Only)'!$A$2:$U$219,4,FALSE)</f>
        <v>#N/A</v>
      </c>
      <c r="R488" s="13"/>
      <c r="S488" s="95" t="e">
        <f>VLOOKUP(C488,'Member Details (HOF Only)'!$A$2:$U$219,7,FALSE)</f>
        <v>#N/A</v>
      </c>
      <c r="T488" s="11">
        <f t="shared" si="7"/>
        <v>0</v>
      </c>
    </row>
    <row r="489" spans="1:20" x14ac:dyDescent="0.2">
      <c r="A489" s="18"/>
      <c r="B489" s="85"/>
      <c r="C489" s="19"/>
      <c r="D489" s="31"/>
      <c r="E489" s="24"/>
      <c r="F489" s="16"/>
      <c r="G489" s="16"/>
      <c r="H489" s="16"/>
      <c r="I489" s="16"/>
      <c r="J489" s="20"/>
      <c r="K489" s="16"/>
      <c r="L489" s="16"/>
      <c r="M489" s="16"/>
      <c r="N489" s="16"/>
      <c r="O489" s="16" t="str">
        <f>IF(ISNA(VLOOKUP(C489,'Auction Summary'!$P$3:$R$600,2,FALSE)),"",VLOOKUP(C489,'Auction Summary'!$P$3:$R$600,2,FALSE))</f>
        <v/>
      </c>
      <c r="P489" s="16"/>
      <c r="Q489" s="95" t="e">
        <f>VLOOKUP(C489,'Member Details (HOF Only)'!$A$2:$U$219,4,FALSE)</f>
        <v>#N/A</v>
      </c>
      <c r="R489" s="13"/>
      <c r="S489" s="95" t="e">
        <f>VLOOKUP(C489,'Member Details (HOF Only)'!$A$2:$U$219,7,FALSE)</f>
        <v>#N/A</v>
      </c>
      <c r="T489" s="11">
        <f t="shared" si="7"/>
        <v>0</v>
      </c>
    </row>
    <row r="490" spans="1:20" x14ac:dyDescent="0.2">
      <c r="A490" s="18"/>
      <c r="B490" s="85"/>
      <c r="C490" s="19"/>
      <c r="D490" s="31"/>
      <c r="E490" s="24"/>
      <c r="F490" s="16"/>
      <c r="G490" s="16"/>
      <c r="H490" s="16"/>
      <c r="I490" s="16"/>
      <c r="J490" s="20"/>
      <c r="K490" s="16"/>
      <c r="L490" s="16"/>
      <c r="M490" s="16"/>
      <c r="N490" s="16"/>
      <c r="O490" s="16" t="str">
        <f>IF(ISNA(VLOOKUP(C490,'Auction Summary'!$P$3:$R$600,2,FALSE)),"",VLOOKUP(C490,'Auction Summary'!$P$3:$R$600,2,FALSE))</f>
        <v/>
      </c>
      <c r="P490" s="16"/>
      <c r="Q490" s="95" t="e">
        <f>VLOOKUP(C490,'Member Details (HOF Only)'!$A$2:$U$219,4,FALSE)</f>
        <v>#N/A</v>
      </c>
      <c r="R490" s="13"/>
      <c r="S490" s="95" t="e">
        <f>VLOOKUP(C490,'Member Details (HOF Only)'!$A$2:$U$219,7,FALSE)</f>
        <v>#N/A</v>
      </c>
      <c r="T490" s="11">
        <f t="shared" si="7"/>
        <v>0</v>
      </c>
    </row>
    <row r="491" spans="1:20" x14ac:dyDescent="0.2">
      <c r="A491" s="18"/>
      <c r="B491" s="85"/>
      <c r="C491" s="19"/>
      <c r="D491" s="31"/>
      <c r="E491" s="24"/>
      <c r="F491" s="16"/>
      <c r="G491" s="16"/>
      <c r="H491" s="16"/>
      <c r="I491" s="16"/>
      <c r="J491" s="20"/>
      <c r="K491" s="16"/>
      <c r="L491" s="16"/>
      <c r="M491" s="16"/>
      <c r="N491" s="16"/>
      <c r="O491" s="16" t="str">
        <f>IF(ISNA(VLOOKUP(C491,'Auction Summary'!$P$3:$R$600,2,FALSE)),"",VLOOKUP(C491,'Auction Summary'!$P$3:$R$600,2,FALSE))</f>
        <v/>
      </c>
      <c r="P491" s="16"/>
      <c r="Q491" s="95" t="e">
        <f>VLOOKUP(C491,'Member Details (HOF Only)'!$A$2:$U$219,4,FALSE)</f>
        <v>#N/A</v>
      </c>
      <c r="R491" s="13"/>
      <c r="S491" s="95" t="e">
        <f>VLOOKUP(C491,'Member Details (HOF Only)'!$A$2:$U$219,7,FALSE)</f>
        <v>#N/A</v>
      </c>
      <c r="T491" s="11">
        <f t="shared" si="7"/>
        <v>0</v>
      </c>
    </row>
    <row r="492" spans="1:20" x14ac:dyDescent="0.2">
      <c r="A492" s="18"/>
      <c r="B492" s="85"/>
      <c r="C492" s="19"/>
      <c r="D492" s="31"/>
      <c r="E492" s="24"/>
      <c r="F492" s="16"/>
      <c r="G492" s="16"/>
      <c r="H492" s="16"/>
      <c r="I492" s="16"/>
      <c r="J492" s="20"/>
      <c r="K492" s="16"/>
      <c r="L492" s="16"/>
      <c r="M492" s="16"/>
      <c r="N492" s="16"/>
      <c r="O492" s="16" t="str">
        <f>IF(ISNA(VLOOKUP(C492,'Auction Summary'!$P$3:$R$600,2,FALSE)),"",VLOOKUP(C492,'Auction Summary'!$P$3:$R$600,2,FALSE))</f>
        <v/>
      </c>
      <c r="P492" s="16"/>
      <c r="Q492" s="95" t="e">
        <f>VLOOKUP(C492,'Member Details (HOF Only)'!$A$2:$U$219,4,FALSE)</f>
        <v>#N/A</v>
      </c>
      <c r="R492" s="13"/>
      <c r="S492" s="95" t="e">
        <f>VLOOKUP(C492,'Member Details (HOF Only)'!$A$2:$U$219,7,FALSE)</f>
        <v>#N/A</v>
      </c>
      <c r="T492" s="11">
        <f t="shared" si="7"/>
        <v>0</v>
      </c>
    </row>
    <row r="493" spans="1:20" x14ac:dyDescent="0.2">
      <c r="A493" s="18"/>
      <c r="B493" s="85"/>
      <c r="C493" s="19"/>
      <c r="D493" s="31"/>
      <c r="E493" s="24"/>
      <c r="F493" s="16"/>
      <c r="G493" s="16"/>
      <c r="H493" s="16"/>
      <c r="I493" s="16"/>
      <c r="J493" s="20"/>
      <c r="K493" s="16"/>
      <c r="L493" s="16"/>
      <c r="M493" s="16"/>
      <c r="N493" s="16"/>
      <c r="O493" s="16" t="str">
        <f>IF(ISNA(VLOOKUP(C493,'Auction Summary'!$P$3:$R$600,2,FALSE)),"",VLOOKUP(C493,'Auction Summary'!$P$3:$R$600,2,FALSE))</f>
        <v/>
      </c>
      <c r="P493" s="16"/>
      <c r="Q493" s="95" t="e">
        <f>VLOOKUP(C493,'Member Details (HOF Only)'!$A$2:$U$219,4,FALSE)</f>
        <v>#N/A</v>
      </c>
      <c r="R493" s="13"/>
      <c r="S493" s="95" t="e">
        <f>VLOOKUP(C493,'Member Details (HOF Only)'!$A$2:$U$219,7,FALSE)</f>
        <v>#N/A</v>
      </c>
      <c r="T493" s="11">
        <f t="shared" si="7"/>
        <v>0</v>
      </c>
    </row>
    <row r="494" spans="1:20" x14ac:dyDescent="0.2">
      <c r="A494" s="18"/>
      <c r="B494" s="85"/>
      <c r="C494" s="19"/>
      <c r="D494" s="31"/>
      <c r="E494" s="24"/>
      <c r="F494" s="16"/>
      <c r="G494" s="16"/>
      <c r="H494" s="16"/>
      <c r="I494" s="16"/>
      <c r="J494" s="20"/>
      <c r="K494" s="16"/>
      <c r="L494" s="16"/>
      <c r="M494" s="16"/>
      <c r="N494" s="16"/>
      <c r="O494" s="16" t="str">
        <f>IF(ISNA(VLOOKUP(C494,'Auction Summary'!$P$3:$R$600,2,FALSE)),"",VLOOKUP(C494,'Auction Summary'!$P$3:$R$600,2,FALSE))</f>
        <v/>
      </c>
      <c r="P494" s="16"/>
      <c r="Q494" s="95" t="e">
        <f>VLOOKUP(C494,'Member Details (HOF Only)'!$A$2:$U$219,4,FALSE)</f>
        <v>#N/A</v>
      </c>
      <c r="R494" s="13"/>
      <c r="S494" s="95" t="e">
        <f>VLOOKUP(C494,'Member Details (HOF Only)'!$A$2:$U$219,7,FALSE)</f>
        <v>#N/A</v>
      </c>
      <c r="T494" s="11">
        <f t="shared" si="7"/>
        <v>0</v>
      </c>
    </row>
    <row r="495" spans="1:20" x14ac:dyDescent="0.2">
      <c r="A495" s="18"/>
      <c r="B495" s="85"/>
      <c r="C495" s="19"/>
      <c r="D495" s="31"/>
      <c r="E495" s="24"/>
      <c r="F495" s="16"/>
      <c r="G495" s="16"/>
      <c r="H495" s="16"/>
      <c r="I495" s="16"/>
      <c r="J495" s="20"/>
      <c r="K495" s="16"/>
      <c r="L495" s="16"/>
      <c r="M495" s="16"/>
      <c r="N495" s="16"/>
      <c r="O495" s="16" t="str">
        <f>IF(ISNA(VLOOKUP(C495,'Auction Summary'!$P$3:$R$600,2,FALSE)),"",VLOOKUP(C495,'Auction Summary'!$P$3:$R$600,2,FALSE))</f>
        <v/>
      </c>
      <c r="P495" s="16"/>
      <c r="Q495" s="95" t="e">
        <f>VLOOKUP(C495,'Member Details (HOF Only)'!$A$2:$U$219,4,FALSE)</f>
        <v>#N/A</v>
      </c>
      <c r="R495" s="13"/>
      <c r="S495" s="95" t="e">
        <f>VLOOKUP(C495,'Member Details (HOF Only)'!$A$2:$U$219,7,FALSE)</f>
        <v>#N/A</v>
      </c>
      <c r="T495" s="11">
        <f t="shared" si="7"/>
        <v>0</v>
      </c>
    </row>
    <row r="496" spans="1:20" x14ac:dyDescent="0.2">
      <c r="A496" s="18"/>
      <c r="B496" s="85"/>
      <c r="C496" s="19"/>
      <c r="D496" s="31"/>
      <c r="E496" s="24"/>
      <c r="F496" s="16"/>
      <c r="G496" s="16"/>
      <c r="H496" s="16"/>
      <c r="I496" s="16"/>
      <c r="J496" s="20"/>
      <c r="K496" s="16"/>
      <c r="L496" s="16"/>
      <c r="M496" s="16"/>
      <c r="N496" s="16"/>
      <c r="O496" s="16" t="str">
        <f>IF(ISNA(VLOOKUP(C496,'Auction Summary'!$P$3:$R$600,2,FALSE)),"",VLOOKUP(C496,'Auction Summary'!$P$3:$R$600,2,FALSE))</f>
        <v/>
      </c>
      <c r="P496" s="16"/>
      <c r="Q496" s="95" t="e">
        <f>VLOOKUP(C496,'Member Details (HOF Only)'!$A$2:$U$219,4,FALSE)</f>
        <v>#N/A</v>
      </c>
      <c r="R496" s="13"/>
      <c r="S496" s="95" t="e">
        <f>VLOOKUP(C496,'Member Details (HOF Only)'!$A$2:$U$219,7,FALSE)</f>
        <v>#N/A</v>
      </c>
      <c r="T496" s="11">
        <f t="shared" si="7"/>
        <v>0</v>
      </c>
    </row>
    <row r="497" spans="1:20" x14ac:dyDescent="0.2">
      <c r="A497" s="18"/>
      <c r="B497" s="85"/>
      <c r="C497" s="19"/>
      <c r="D497" s="31"/>
      <c r="E497" s="24"/>
      <c r="F497" s="16"/>
      <c r="G497" s="16"/>
      <c r="H497" s="16"/>
      <c r="I497" s="16"/>
      <c r="J497" s="20"/>
      <c r="K497" s="16"/>
      <c r="L497" s="16"/>
      <c r="M497" s="16"/>
      <c r="N497" s="16"/>
      <c r="O497" s="16" t="str">
        <f>IF(ISNA(VLOOKUP(C497,'Auction Summary'!$P$3:$R$600,2,FALSE)),"",VLOOKUP(C497,'Auction Summary'!$P$3:$R$600,2,FALSE))</f>
        <v/>
      </c>
      <c r="P497" s="16"/>
      <c r="Q497" s="95" t="e">
        <f>VLOOKUP(C497,'Member Details (HOF Only)'!$A$2:$U$219,4,FALSE)</f>
        <v>#N/A</v>
      </c>
      <c r="R497" s="13"/>
      <c r="S497" s="95" t="e">
        <f>VLOOKUP(C497,'Member Details (HOF Only)'!$A$2:$U$219,7,FALSE)</f>
        <v>#N/A</v>
      </c>
      <c r="T497" s="11">
        <f t="shared" si="7"/>
        <v>0</v>
      </c>
    </row>
    <row r="498" spans="1:20" x14ac:dyDescent="0.2">
      <c r="A498" s="18"/>
      <c r="B498" s="85"/>
      <c r="C498" s="19"/>
      <c r="D498" s="31"/>
      <c r="E498" s="24"/>
      <c r="F498" s="16"/>
      <c r="G498" s="16"/>
      <c r="H498" s="16"/>
      <c r="I498" s="16"/>
      <c r="J498" s="20"/>
      <c r="K498" s="16"/>
      <c r="L498" s="16"/>
      <c r="M498" s="16"/>
      <c r="N498" s="16"/>
      <c r="O498" s="16" t="str">
        <f>IF(ISNA(VLOOKUP(C498,'Auction Summary'!$P$3:$R$600,2,FALSE)),"",VLOOKUP(C498,'Auction Summary'!$P$3:$R$600,2,FALSE))</f>
        <v/>
      </c>
      <c r="P498" s="16"/>
      <c r="Q498" s="95" t="e">
        <f>VLOOKUP(C498,'Member Details (HOF Only)'!$A$2:$U$219,4,FALSE)</f>
        <v>#N/A</v>
      </c>
      <c r="R498" s="13"/>
      <c r="S498" s="95" t="e">
        <f>VLOOKUP(C498,'Member Details (HOF Only)'!$A$2:$U$219,7,FALSE)</f>
        <v>#N/A</v>
      </c>
      <c r="T498" s="11">
        <f t="shared" si="7"/>
        <v>0</v>
      </c>
    </row>
    <row r="499" spans="1:20" x14ac:dyDescent="0.2">
      <c r="A499" s="18"/>
      <c r="B499" s="85"/>
      <c r="C499" s="19"/>
      <c r="D499" s="31"/>
      <c r="E499" s="24"/>
      <c r="F499" s="16"/>
      <c r="G499" s="16"/>
      <c r="H499" s="16"/>
      <c r="I499" s="16"/>
      <c r="J499" s="20"/>
      <c r="K499" s="16"/>
      <c r="L499" s="16"/>
      <c r="M499" s="16"/>
      <c r="N499" s="16"/>
      <c r="O499" s="16" t="str">
        <f>IF(ISNA(VLOOKUP(C499,'Auction Summary'!$P$3:$R$600,2,FALSE)),"",VLOOKUP(C499,'Auction Summary'!$P$3:$R$600,2,FALSE))</f>
        <v/>
      </c>
      <c r="P499" s="16"/>
      <c r="Q499" s="95" t="e">
        <f>VLOOKUP(C499,'Member Details (HOF Only)'!$A$2:$U$219,4,FALSE)</f>
        <v>#N/A</v>
      </c>
      <c r="R499" s="13"/>
      <c r="S499" s="95" t="e">
        <f>VLOOKUP(C499,'Member Details (HOF Only)'!$A$2:$U$219,7,FALSE)</f>
        <v>#N/A</v>
      </c>
      <c r="T499" s="11">
        <f t="shared" si="7"/>
        <v>0</v>
      </c>
    </row>
    <row r="500" spans="1:20" x14ac:dyDescent="0.2">
      <c r="A500" s="18"/>
      <c r="B500" s="85"/>
      <c r="C500" s="19"/>
      <c r="D500" s="31"/>
      <c r="E500" s="24"/>
      <c r="F500" s="16"/>
      <c r="G500" s="16"/>
      <c r="H500" s="16"/>
      <c r="I500" s="16"/>
      <c r="J500" s="20"/>
      <c r="K500" s="16"/>
      <c r="L500" s="16"/>
      <c r="M500" s="16"/>
      <c r="N500" s="16"/>
      <c r="O500" s="16" t="str">
        <f>IF(ISNA(VLOOKUP(C500,'Auction Summary'!$P$3:$R$600,2,FALSE)),"",VLOOKUP(C500,'Auction Summary'!$P$3:$R$600,2,FALSE))</f>
        <v/>
      </c>
      <c r="P500" s="16"/>
      <c r="Q500" s="95" t="e">
        <f>VLOOKUP(C500,'Member Details (HOF Only)'!$A$2:$U$219,4,FALSE)</f>
        <v>#N/A</v>
      </c>
      <c r="R500" s="13"/>
      <c r="S500" s="95" t="e">
        <f>VLOOKUP(C500,'Member Details (HOF Only)'!$A$2:$U$219,7,FALSE)</f>
        <v>#N/A</v>
      </c>
      <c r="T500" s="11">
        <f t="shared" si="7"/>
        <v>0</v>
      </c>
    </row>
    <row r="501" spans="1:20" x14ac:dyDescent="0.2">
      <c r="A501" s="18"/>
      <c r="B501" s="85"/>
      <c r="C501" s="19"/>
      <c r="D501" s="31"/>
      <c r="E501" s="24"/>
      <c r="F501" s="16"/>
      <c r="G501" s="16"/>
      <c r="H501" s="16"/>
      <c r="I501" s="16"/>
      <c r="J501" s="20"/>
      <c r="K501" s="16"/>
      <c r="L501" s="16"/>
      <c r="M501" s="16"/>
      <c r="N501" s="16"/>
      <c r="O501" s="16" t="str">
        <f>IF(ISNA(VLOOKUP(C501,'Auction Summary'!$P$3:$R$600,2,FALSE)),"",VLOOKUP(C501,'Auction Summary'!$P$3:$R$600,2,FALSE))</f>
        <v/>
      </c>
      <c r="P501" s="16"/>
      <c r="Q501" s="95" t="e">
        <f>VLOOKUP(C501,'Member Details (HOF Only)'!$A$2:$U$219,4,FALSE)</f>
        <v>#N/A</v>
      </c>
      <c r="R501" s="13"/>
      <c r="S501" s="95" t="e">
        <f>VLOOKUP(C501,'Member Details (HOF Only)'!$A$2:$U$219,7,FALSE)</f>
        <v>#N/A</v>
      </c>
      <c r="T501" s="11">
        <f t="shared" si="7"/>
        <v>0</v>
      </c>
    </row>
    <row r="502" spans="1:20" x14ac:dyDescent="0.2">
      <c r="A502" s="18"/>
      <c r="B502" s="85"/>
      <c r="C502" s="19"/>
      <c r="D502" s="31"/>
      <c r="E502" s="24"/>
      <c r="F502" s="16"/>
      <c r="G502" s="16"/>
      <c r="H502" s="16"/>
      <c r="I502" s="16"/>
      <c r="J502" s="20"/>
      <c r="K502" s="16"/>
      <c r="L502" s="16"/>
      <c r="M502" s="16"/>
      <c r="N502" s="16"/>
      <c r="O502" s="16" t="str">
        <f>IF(ISNA(VLOOKUP(C502,'Auction Summary'!$P$3:$R$600,2,FALSE)),"",VLOOKUP(C502,'Auction Summary'!$P$3:$R$600,2,FALSE))</f>
        <v/>
      </c>
      <c r="P502" s="16"/>
      <c r="Q502" s="95" t="e">
        <f>VLOOKUP(C502,'Member Details (HOF Only)'!$A$2:$U$219,4,FALSE)</f>
        <v>#N/A</v>
      </c>
      <c r="R502" s="13"/>
      <c r="S502" s="95" t="e">
        <f>VLOOKUP(C502,'Member Details (HOF Only)'!$A$2:$U$219,7,FALSE)</f>
        <v>#N/A</v>
      </c>
      <c r="T502" s="11">
        <f t="shared" si="7"/>
        <v>0</v>
      </c>
    </row>
    <row r="503" spans="1:20" x14ac:dyDescent="0.2">
      <c r="A503" s="18"/>
      <c r="B503" s="85"/>
      <c r="C503" s="19"/>
      <c r="D503" s="31"/>
      <c r="E503" s="24"/>
      <c r="F503" s="16"/>
      <c r="G503" s="16"/>
      <c r="H503" s="16"/>
      <c r="I503" s="16"/>
      <c r="J503" s="20"/>
      <c r="K503" s="16"/>
      <c r="L503" s="16"/>
      <c r="M503" s="16"/>
      <c r="N503" s="16"/>
      <c r="O503" s="16" t="str">
        <f>IF(ISNA(VLOOKUP(C503,'Auction Summary'!$P$3:$R$600,2,FALSE)),"",VLOOKUP(C503,'Auction Summary'!$P$3:$R$600,2,FALSE))</f>
        <v/>
      </c>
      <c r="P503" s="16"/>
      <c r="Q503" s="95" t="e">
        <f>VLOOKUP(C503,'Member Details (HOF Only)'!$A$2:$U$219,4,FALSE)</f>
        <v>#N/A</v>
      </c>
      <c r="R503" s="13"/>
      <c r="S503" s="95" t="e">
        <f>VLOOKUP(C503,'Member Details (HOF Only)'!$A$2:$U$219,7,FALSE)</f>
        <v>#N/A</v>
      </c>
      <c r="T503" s="11">
        <f t="shared" si="7"/>
        <v>0</v>
      </c>
    </row>
    <row r="504" spans="1:20" x14ac:dyDescent="0.2">
      <c r="A504" s="18"/>
      <c r="B504" s="85"/>
      <c r="C504" s="19"/>
      <c r="D504" s="31"/>
      <c r="E504" s="24"/>
      <c r="F504" s="16"/>
      <c r="G504" s="16"/>
      <c r="H504" s="16"/>
      <c r="I504" s="16"/>
      <c r="J504" s="20"/>
      <c r="K504" s="16"/>
      <c r="L504" s="16"/>
      <c r="M504" s="16"/>
      <c r="N504" s="16"/>
      <c r="O504" s="16" t="str">
        <f>IF(ISNA(VLOOKUP(C504,'Auction Summary'!$P$3:$R$600,2,FALSE)),"",VLOOKUP(C504,'Auction Summary'!$P$3:$R$600,2,FALSE))</f>
        <v/>
      </c>
      <c r="P504" s="16"/>
      <c r="Q504" s="95" t="e">
        <f>VLOOKUP(C504,'Member Details (HOF Only)'!$A$2:$U$219,4,FALSE)</f>
        <v>#N/A</v>
      </c>
      <c r="R504" s="13"/>
      <c r="S504" s="95" t="e">
        <f>VLOOKUP(C504,'Member Details (HOF Only)'!$A$2:$U$219,7,FALSE)</f>
        <v>#N/A</v>
      </c>
      <c r="T504" s="11">
        <f t="shared" si="7"/>
        <v>0</v>
      </c>
    </row>
    <row r="505" spans="1:20" x14ac:dyDescent="0.2">
      <c r="A505" s="18"/>
      <c r="B505" s="85"/>
      <c r="C505" s="19"/>
      <c r="D505" s="31"/>
      <c r="E505" s="24"/>
      <c r="F505" s="16"/>
      <c r="G505" s="16"/>
      <c r="H505" s="16"/>
      <c r="I505" s="16"/>
      <c r="J505" s="20"/>
      <c r="K505" s="16"/>
      <c r="L505" s="16"/>
      <c r="M505" s="16"/>
      <c r="N505" s="16"/>
      <c r="O505" s="16" t="str">
        <f>IF(ISNA(VLOOKUP(C505,'Auction Summary'!$P$3:$R$600,2,FALSE)),"",VLOOKUP(C505,'Auction Summary'!$P$3:$R$600,2,FALSE))</f>
        <v/>
      </c>
      <c r="P505" s="16"/>
      <c r="Q505" s="95" t="e">
        <f>VLOOKUP(C505,'Member Details (HOF Only)'!$A$2:$U$219,4,FALSE)</f>
        <v>#N/A</v>
      </c>
      <c r="R505" s="13"/>
      <c r="S505" s="95" t="e">
        <f>VLOOKUP(C505,'Member Details (HOF Only)'!$A$2:$U$219,7,FALSE)</f>
        <v>#N/A</v>
      </c>
      <c r="T505" s="11">
        <f t="shared" si="7"/>
        <v>0</v>
      </c>
    </row>
    <row r="506" spans="1:20" x14ac:dyDescent="0.2">
      <c r="A506" s="18"/>
      <c r="B506" s="85"/>
      <c r="C506" s="19"/>
      <c r="D506" s="31"/>
      <c r="E506" s="24"/>
      <c r="F506" s="16"/>
      <c r="G506" s="16"/>
      <c r="H506" s="16"/>
      <c r="I506" s="16"/>
      <c r="J506" s="20"/>
      <c r="K506" s="16"/>
      <c r="L506" s="16"/>
      <c r="M506" s="16"/>
      <c r="N506" s="16"/>
      <c r="O506" s="16" t="str">
        <f>IF(ISNA(VLOOKUP(C506,'Auction Summary'!$P$3:$R$600,2,FALSE)),"",VLOOKUP(C506,'Auction Summary'!$P$3:$R$600,2,FALSE))</f>
        <v/>
      </c>
      <c r="P506" s="16"/>
      <c r="Q506" s="95" t="e">
        <f>VLOOKUP(C506,'Member Details (HOF Only)'!$A$2:$U$219,4,FALSE)</f>
        <v>#N/A</v>
      </c>
      <c r="R506" s="13"/>
      <c r="S506" s="95" t="e">
        <f>VLOOKUP(C506,'Member Details (HOF Only)'!$A$2:$U$219,7,FALSE)</f>
        <v>#N/A</v>
      </c>
      <c r="T506" s="11">
        <f t="shared" si="7"/>
        <v>0</v>
      </c>
    </row>
    <row r="507" spans="1:20" x14ac:dyDescent="0.2">
      <c r="A507" s="18"/>
      <c r="B507" s="85"/>
      <c r="C507" s="19"/>
      <c r="D507" s="31"/>
      <c r="E507" s="24"/>
      <c r="F507" s="16"/>
      <c r="G507" s="16"/>
      <c r="H507" s="16"/>
      <c r="I507" s="16"/>
      <c r="J507" s="20"/>
      <c r="K507" s="16"/>
      <c r="L507" s="16"/>
      <c r="M507" s="16"/>
      <c r="N507" s="16"/>
      <c r="O507" s="16" t="str">
        <f>IF(ISNA(VLOOKUP(C507,'Auction Summary'!$P$3:$R$600,2,FALSE)),"",VLOOKUP(C507,'Auction Summary'!$P$3:$R$600,2,FALSE))</f>
        <v/>
      </c>
      <c r="P507" s="16"/>
      <c r="Q507" s="95" t="e">
        <f>VLOOKUP(C507,'Member Details (HOF Only)'!$A$2:$U$219,4,FALSE)</f>
        <v>#N/A</v>
      </c>
      <c r="R507" s="13"/>
      <c r="S507" s="95" t="e">
        <f>VLOOKUP(C507,'Member Details (HOF Only)'!$A$2:$U$219,7,FALSE)</f>
        <v>#N/A</v>
      </c>
      <c r="T507" s="11">
        <f t="shared" si="7"/>
        <v>0</v>
      </c>
    </row>
    <row r="508" spans="1:20" x14ac:dyDescent="0.2">
      <c r="A508" s="18"/>
      <c r="B508" s="85"/>
      <c r="C508" s="19"/>
      <c r="D508" s="31"/>
      <c r="E508" s="24"/>
      <c r="F508" s="16"/>
      <c r="G508" s="16"/>
      <c r="H508" s="16"/>
      <c r="I508" s="16"/>
      <c r="J508" s="20"/>
      <c r="K508" s="16"/>
      <c r="L508" s="16"/>
      <c r="M508" s="16"/>
      <c r="N508" s="16"/>
      <c r="O508" s="16" t="str">
        <f>IF(ISNA(VLOOKUP(C508,'Auction Summary'!$P$3:$R$600,2,FALSE)),"",VLOOKUP(C508,'Auction Summary'!$P$3:$R$600,2,FALSE))</f>
        <v/>
      </c>
      <c r="P508" s="16"/>
      <c r="Q508" s="95" t="e">
        <f>VLOOKUP(C508,'Member Details (HOF Only)'!$A$2:$U$219,4,FALSE)</f>
        <v>#N/A</v>
      </c>
      <c r="R508" s="13"/>
      <c r="S508" s="95" t="e">
        <f>VLOOKUP(C508,'Member Details (HOF Only)'!$A$2:$U$219,7,FALSE)</f>
        <v>#N/A</v>
      </c>
      <c r="T508" s="11">
        <f t="shared" si="7"/>
        <v>0</v>
      </c>
    </row>
    <row r="509" spans="1:20" x14ac:dyDescent="0.2">
      <c r="A509" s="18"/>
      <c r="B509" s="85"/>
      <c r="C509" s="19"/>
      <c r="D509" s="31"/>
      <c r="E509" s="24"/>
      <c r="F509" s="16"/>
      <c r="G509" s="16"/>
      <c r="H509" s="16"/>
      <c r="I509" s="16"/>
      <c r="J509" s="20"/>
      <c r="K509" s="16"/>
      <c r="L509" s="16"/>
      <c r="M509" s="16"/>
      <c r="N509" s="16"/>
      <c r="O509" s="16" t="str">
        <f>IF(ISNA(VLOOKUP(C509,'Auction Summary'!$P$3:$R$600,2,FALSE)),"",VLOOKUP(C509,'Auction Summary'!$P$3:$R$600,2,FALSE))</f>
        <v/>
      </c>
      <c r="P509" s="16"/>
      <c r="Q509" s="95" t="e">
        <f>VLOOKUP(C509,'Member Details (HOF Only)'!$A$2:$U$219,4,FALSE)</f>
        <v>#N/A</v>
      </c>
      <c r="R509" s="13"/>
      <c r="S509" s="95" t="e">
        <f>VLOOKUP(C509,'Member Details (HOF Only)'!$A$2:$U$219,7,FALSE)</f>
        <v>#N/A</v>
      </c>
      <c r="T509" s="11">
        <f t="shared" si="7"/>
        <v>0</v>
      </c>
    </row>
    <row r="510" spans="1:20" x14ac:dyDescent="0.2">
      <c r="A510" s="18"/>
      <c r="B510" s="85"/>
      <c r="C510" s="19"/>
      <c r="D510" s="31"/>
      <c r="E510" s="24"/>
      <c r="F510" s="16"/>
      <c r="G510" s="16"/>
      <c r="H510" s="16"/>
      <c r="I510" s="16"/>
      <c r="J510" s="20"/>
      <c r="K510" s="16"/>
      <c r="L510" s="16"/>
      <c r="M510" s="16"/>
      <c r="N510" s="16"/>
      <c r="O510" s="16" t="str">
        <f>IF(ISNA(VLOOKUP(C510,'Auction Summary'!$P$3:$R$600,2,FALSE)),"",VLOOKUP(C510,'Auction Summary'!$P$3:$R$600,2,FALSE))</f>
        <v/>
      </c>
      <c r="P510" s="16"/>
      <c r="Q510" s="95" t="e">
        <f>VLOOKUP(C510,'Member Details (HOF Only)'!$A$2:$U$219,4,FALSE)</f>
        <v>#N/A</v>
      </c>
      <c r="R510" s="13"/>
      <c r="S510" s="95" t="e">
        <f>VLOOKUP(C510,'Member Details (HOF Only)'!$A$2:$U$219,7,FALSE)</f>
        <v>#N/A</v>
      </c>
      <c r="T510" s="11">
        <f t="shared" si="7"/>
        <v>0</v>
      </c>
    </row>
    <row r="511" spans="1:20" x14ac:dyDescent="0.2">
      <c r="A511" s="18"/>
      <c r="B511" s="85"/>
      <c r="C511" s="19"/>
      <c r="D511" s="31"/>
      <c r="E511" s="24"/>
      <c r="F511" s="16"/>
      <c r="G511" s="16"/>
      <c r="H511" s="16"/>
      <c r="I511" s="16"/>
      <c r="J511" s="20"/>
      <c r="K511" s="24"/>
      <c r="L511" s="16"/>
      <c r="M511" s="16"/>
      <c r="N511" s="16"/>
      <c r="O511" s="16" t="str">
        <f>IF(ISNA(VLOOKUP(C511,'Auction Summary'!$P$3:$R$600,2,FALSE)),"",VLOOKUP(C511,'Auction Summary'!$P$3:$R$600,2,FALSE))</f>
        <v/>
      </c>
      <c r="P511" s="16"/>
      <c r="Q511" s="95" t="e">
        <f>VLOOKUP(C511,'Member Details (HOF Only)'!$A$2:$U$219,4,FALSE)</f>
        <v>#N/A</v>
      </c>
      <c r="R511" s="13"/>
      <c r="S511" s="95" t="e">
        <f>VLOOKUP(C511,'Member Details (HOF Only)'!$A$2:$U$219,7,FALSE)</f>
        <v>#N/A</v>
      </c>
      <c r="T511" s="11">
        <f t="shared" si="7"/>
        <v>0</v>
      </c>
    </row>
    <row r="512" spans="1:20" x14ac:dyDescent="0.2">
      <c r="A512" s="18"/>
      <c r="B512" s="85"/>
      <c r="C512" s="19"/>
      <c r="D512" s="31"/>
      <c r="E512" s="24"/>
      <c r="F512" s="16"/>
      <c r="G512" s="16"/>
      <c r="H512" s="16"/>
      <c r="I512" s="16"/>
      <c r="J512" s="20"/>
      <c r="K512" s="16"/>
      <c r="L512" s="16"/>
      <c r="M512" s="16"/>
      <c r="N512" s="16"/>
      <c r="O512" s="16" t="str">
        <f>IF(ISNA(VLOOKUP(C512,'Auction Summary'!$P$3:$R$600,2,FALSE)),"",VLOOKUP(C512,'Auction Summary'!$P$3:$R$600,2,FALSE))</f>
        <v/>
      </c>
      <c r="P512" s="16"/>
      <c r="Q512" s="95" t="e">
        <f>VLOOKUP(C512,'Member Details (HOF Only)'!$A$2:$U$219,4,FALSE)</f>
        <v>#N/A</v>
      </c>
      <c r="R512" s="13"/>
      <c r="S512" s="95" t="e">
        <f>VLOOKUP(C512,'Member Details (HOF Only)'!$A$2:$U$219,7,FALSE)</f>
        <v>#N/A</v>
      </c>
      <c r="T512" s="11">
        <f t="shared" si="7"/>
        <v>0</v>
      </c>
    </row>
    <row r="513" spans="1:20" x14ac:dyDescent="0.2">
      <c r="A513" s="18"/>
      <c r="B513" s="85"/>
      <c r="C513" s="19"/>
      <c r="D513" s="31"/>
      <c r="E513" s="24"/>
      <c r="F513" s="16"/>
      <c r="G513" s="16"/>
      <c r="H513" s="16"/>
      <c r="I513" s="16"/>
      <c r="J513" s="20"/>
      <c r="K513" s="16"/>
      <c r="L513" s="16"/>
      <c r="M513" s="16"/>
      <c r="N513" s="16"/>
      <c r="O513" s="16" t="str">
        <f>IF(ISNA(VLOOKUP(C513,'Auction Summary'!$P$3:$R$600,2,FALSE)),"",VLOOKUP(C513,'Auction Summary'!$P$3:$R$600,2,FALSE))</f>
        <v/>
      </c>
      <c r="P513" s="16"/>
      <c r="Q513" s="95" t="e">
        <f>VLOOKUP(C513,'Member Details (HOF Only)'!$A$2:$U$219,4,FALSE)</f>
        <v>#N/A</v>
      </c>
      <c r="R513" s="13"/>
      <c r="S513" s="95" t="e">
        <f>VLOOKUP(C513,'Member Details (HOF Only)'!$A$2:$U$219,7,FALSE)</f>
        <v>#N/A</v>
      </c>
      <c r="T513" s="11">
        <f t="shared" ref="T513:T576" si="8">T512+D513</f>
        <v>0</v>
      </c>
    </row>
    <row r="514" spans="1:20" x14ac:dyDescent="0.2">
      <c r="A514" s="18"/>
      <c r="B514" s="85"/>
      <c r="C514" s="19"/>
      <c r="D514" s="31"/>
      <c r="E514" s="24"/>
      <c r="F514" s="16"/>
      <c r="G514" s="16"/>
      <c r="H514" s="16"/>
      <c r="I514" s="16"/>
      <c r="J514" s="20"/>
      <c r="K514" s="16"/>
      <c r="L514" s="16"/>
      <c r="M514" s="16"/>
      <c r="N514" s="16"/>
      <c r="O514" s="16" t="str">
        <f>IF(ISNA(VLOOKUP(C514,'Auction Summary'!$P$3:$R$600,2,FALSE)),"",VLOOKUP(C514,'Auction Summary'!$P$3:$R$600,2,FALSE))</f>
        <v/>
      </c>
      <c r="P514" s="16"/>
      <c r="Q514" s="95" t="e">
        <f>VLOOKUP(C514,'Member Details (HOF Only)'!$A$2:$U$219,4,FALSE)</f>
        <v>#N/A</v>
      </c>
      <c r="R514" s="13"/>
      <c r="S514" s="95" t="e">
        <f>VLOOKUP(C514,'Member Details (HOF Only)'!$A$2:$U$219,7,FALSE)</f>
        <v>#N/A</v>
      </c>
      <c r="T514" s="11">
        <f t="shared" si="8"/>
        <v>0</v>
      </c>
    </row>
    <row r="515" spans="1:20" x14ac:dyDescent="0.2">
      <c r="A515" s="18"/>
      <c r="B515" s="85"/>
      <c r="C515" s="19"/>
      <c r="D515" s="31"/>
      <c r="E515" s="24"/>
      <c r="F515" s="16"/>
      <c r="G515" s="16"/>
      <c r="H515" s="16"/>
      <c r="I515" s="16"/>
      <c r="J515" s="20"/>
      <c r="K515" s="16"/>
      <c r="L515" s="16"/>
      <c r="M515" s="16"/>
      <c r="N515" s="16"/>
      <c r="O515" s="16" t="str">
        <f>IF(ISNA(VLOOKUP(C515,'Auction Summary'!$P$3:$R$600,2,FALSE)),"",VLOOKUP(C515,'Auction Summary'!$P$3:$R$600,2,FALSE))</f>
        <v/>
      </c>
      <c r="P515" s="16"/>
      <c r="Q515" s="95" t="e">
        <f>VLOOKUP(C515,'Member Details (HOF Only)'!$A$2:$U$219,4,FALSE)</f>
        <v>#N/A</v>
      </c>
      <c r="R515" s="13"/>
      <c r="S515" s="95" t="e">
        <f>VLOOKUP(C515,'Member Details (HOF Only)'!$A$2:$U$219,7,FALSE)</f>
        <v>#N/A</v>
      </c>
      <c r="T515" s="11">
        <f t="shared" si="8"/>
        <v>0</v>
      </c>
    </row>
    <row r="516" spans="1:20" x14ac:dyDescent="0.2">
      <c r="A516" s="18"/>
      <c r="B516" s="85"/>
      <c r="C516" s="19"/>
      <c r="D516" s="31"/>
      <c r="E516" s="24"/>
      <c r="F516" s="16"/>
      <c r="G516" s="16"/>
      <c r="H516" s="16"/>
      <c r="I516" s="16"/>
      <c r="J516" s="20"/>
      <c r="K516" s="16"/>
      <c r="L516" s="16"/>
      <c r="M516" s="16"/>
      <c r="N516" s="16"/>
      <c r="O516" s="16" t="str">
        <f>IF(ISNA(VLOOKUP(C516,'Auction Summary'!$P$3:$R$600,2,FALSE)),"",VLOOKUP(C516,'Auction Summary'!$P$3:$R$600,2,FALSE))</f>
        <v/>
      </c>
      <c r="P516" s="16"/>
      <c r="Q516" s="95" t="e">
        <f>VLOOKUP(C516,'Member Details (HOF Only)'!$A$2:$U$219,4,FALSE)</f>
        <v>#N/A</v>
      </c>
      <c r="R516" s="13"/>
      <c r="S516" s="95" t="e">
        <f>VLOOKUP(C516,'Member Details (HOF Only)'!$A$2:$U$219,7,FALSE)</f>
        <v>#N/A</v>
      </c>
      <c r="T516" s="11">
        <f t="shared" si="8"/>
        <v>0</v>
      </c>
    </row>
    <row r="517" spans="1:20" x14ac:dyDescent="0.2">
      <c r="A517" s="18"/>
      <c r="B517" s="85"/>
      <c r="C517" s="19"/>
      <c r="D517" s="31"/>
      <c r="E517" s="24"/>
      <c r="F517" s="16"/>
      <c r="G517" s="16"/>
      <c r="H517" s="16"/>
      <c r="I517" s="16"/>
      <c r="J517" s="20"/>
      <c r="K517" s="16"/>
      <c r="L517" s="16"/>
      <c r="M517" s="16"/>
      <c r="N517" s="16"/>
      <c r="O517" s="16" t="str">
        <f>IF(ISNA(VLOOKUP(C517,'Auction Summary'!$P$3:$R$600,2,FALSE)),"",VLOOKUP(C517,'Auction Summary'!$P$3:$R$600,2,FALSE))</f>
        <v/>
      </c>
      <c r="P517" s="16"/>
      <c r="Q517" s="95" t="e">
        <f>VLOOKUP(C517,'Member Details (HOF Only)'!$A$2:$U$219,4,FALSE)</f>
        <v>#N/A</v>
      </c>
      <c r="R517" s="13"/>
      <c r="S517" s="95" t="e">
        <f>VLOOKUP(C517,'Member Details (HOF Only)'!$A$2:$U$219,7,FALSE)</f>
        <v>#N/A</v>
      </c>
      <c r="T517" s="11">
        <f t="shared" si="8"/>
        <v>0</v>
      </c>
    </row>
    <row r="518" spans="1:20" x14ac:dyDescent="0.2">
      <c r="A518" s="18"/>
      <c r="B518" s="85"/>
      <c r="C518" s="19"/>
      <c r="D518" s="31"/>
      <c r="E518" s="24"/>
      <c r="F518" s="16"/>
      <c r="G518" s="16"/>
      <c r="H518" s="16"/>
      <c r="I518" s="16"/>
      <c r="J518" s="20"/>
      <c r="K518" s="16"/>
      <c r="L518" s="16"/>
      <c r="M518" s="16"/>
      <c r="N518" s="16"/>
      <c r="O518" s="16" t="str">
        <f>IF(ISNA(VLOOKUP(C518,'Auction Summary'!$P$3:$R$600,2,FALSE)),"",VLOOKUP(C518,'Auction Summary'!$P$3:$R$600,2,FALSE))</f>
        <v/>
      </c>
      <c r="P518" s="16"/>
      <c r="Q518" s="95" t="e">
        <f>VLOOKUP(C518,'Member Details (HOF Only)'!$A$2:$U$219,4,FALSE)</f>
        <v>#N/A</v>
      </c>
      <c r="R518" s="13"/>
      <c r="S518" s="95" t="e">
        <f>VLOOKUP(C518,'Member Details (HOF Only)'!$A$2:$U$219,7,FALSE)</f>
        <v>#N/A</v>
      </c>
      <c r="T518" s="11">
        <f t="shared" si="8"/>
        <v>0</v>
      </c>
    </row>
    <row r="519" spans="1:20" x14ac:dyDescent="0.2">
      <c r="A519" s="18"/>
      <c r="B519" s="85"/>
      <c r="C519" s="19"/>
      <c r="D519" s="31"/>
      <c r="E519" s="24"/>
      <c r="F519" s="16"/>
      <c r="G519" s="16"/>
      <c r="H519" s="16"/>
      <c r="I519" s="16"/>
      <c r="J519" s="20"/>
      <c r="K519" s="16"/>
      <c r="L519" s="16"/>
      <c r="M519" s="16"/>
      <c r="N519" s="16"/>
      <c r="O519" s="16" t="str">
        <f>IF(ISNA(VLOOKUP(C519,'Auction Summary'!$P$3:$R$600,2,FALSE)),"",VLOOKUP(C519,'Auction Summary'!$P$3:$R$600,2,FALSE))</f>
        <v/>
      </c>
      <c r="P519" s="16"/>
      <c r="Q519" s="95" t="e">
        <f>VLOOKUP(C519,'Member Details (HOF Only)'!$A$2:$U$219,4,FALSE)</f>
        <v>#N/A</v>
      </c>
      <c r="R519" s="13"/>
      <c r="S519" s="95" t="e">
        <f>VLOOKUP(C519,'Member Details (HOF Only)'!$A$2:$U$219,7,FALSE)</f>
        <v>#N/A</v>
      </c>
      <c r="T519" s="11">
        <f t="shared" si="8"/>
        <v>0</v>
      </c>
    </row>
    <row r="520" spans="1:20" x14ac:dyDescent="0.2">
      <c r="A520" s="18"/>
      <c r="B520" s="85"/>
      <c r="C520" s="19"/>
      <c r="D520" s="31"/>
      <c r="E520" s="24"/>
      <c r="F520" s="16"/>
      <c r="G520" s="16"/>
      <c r="H520" s="16"/>
      <c r="I520" s="16"/>
      <c r="J520" s="20"/>
      <c r="K520" s="16"/>
      <c r="L520" s="16"/>
      <c r="M520" s="16"/>
      <c r="N520" s="16"/>
      <c r="O520" s="16" t="str">
        <f>IF(ISNA(VLOOKUP(C520,'Auction Summary'!$P$3:$R$600,2,FALSE)),"",VLOOKUP(C520,'Auction Summary'!$P$3:$R$600,2,FALSE))</f>
        <v/>
      </c>
      <c r="P520" s="16"/>
      <c r="Q520" s="95" t="e">
        <f>VLOOKUP(C520,'Member Details (HOF Only)'!$A$2:$U$219,4,FALSE)</f>
        <v>#N/A</v>
      </c>
      <c r="R520" s="13"/>
      <c r="S520" s="95" t="e">
        <f>VLOOKUP(C520,'Member Details (HOF Only)'!$A$2:$U$219,7,FALSE)</f>
        <v>#N/A</v>
      </c>
      <c r="T520" s="11">
        <f t="shared" si="8"/>
        <v>0</v>
      </c>
    </row>
    <row r="521" spans="1:20" x14ac:dyDescent="0.2">
      <c r="A521" s="18"/>
      <c r="B521" s="85"/>
      <c r="C521" s="19"/>
      <c r="D521" s="31"/>
      <c r="E521" s="24"/>
      <c r="F521" s="16"/>
      <c r="G521" s="16"/>
      <c r="H521" s="16"/>
      <c r="I521" s="16"/>
      <c r="J521" s="20"/>
      <c r="K521" s="16"/>
      <c r="L521" s="16"/>
      <c r="M521" s="16"/>
      <c r="N521" s="16"/>
      <c r="O521" s="16" t="str">
        <f>IF(ISNA(VLOOKUP(C521,'Auction Summary'!$P$3:$R$600,2,FALSE)),"",VLOOKUP(C521,'Auction Summary'!$P$3:$R$600,2,FALSE))</f>
        <v/>
      </c>
      <c r="P521" s="16"/>
      <c r="Q521" s="95" t="e">
        <f>VLOOKUP(C521,'Member Details (HOF Only)'!$A$2:$U$219,4,FALSE)</f>
        <v>#N/A</v>
      </c>
      <c r="R521" s="13"/>
      <c r="S521" s="95" t="e">
        <f>VLOOKUP(C521,'Member Details (HOF Only)'!$A$2:$U$219,7,FALSE)</f>
        <v>#N/A</v>
      </c>
      <c r="T521" s="11">
        <f t="shared" si="8"/>
        <v>0</v>
      </c>
    </row>
    <row r="522" spans="1:20" x14ac:dyDescent="0.2">
      <c r="A522" s="18"/>
      <c r="B522" s="85"/>
      <c r="C522" s="19"/>
      <c r="D522" s="31"/>
      <c r="E522" s="24"/>
      <c r="F522" s="16"/>
      <c r="G522" s="16"/>
      <c r="H522" s="16"/>
      <c r="I522" s="16"/>
      <c r="J522" s="20"/>
      <c r="K522" s="16"/>
      <c r="L522" s="16"/>
      <c r="M522" s="16"/>
      <c r="N522" s="16"/>
      <c r="O522" s="16" t="str">
        <f>IF(ISNA(VLOOKUP(C522,'Auction Summary'!$P$3:$R$600,2,FALSE)),"",VLOOKUP(C522,'Auction Summary'!$P$3:$R$600,2,FALSE))</f>
        <v/>
      </c>
      <c r="P522" s="16"/>
      <c r="Q522" s="95" t="e">
        <f>VLOOKUP(C522,'Member Details (HOF Only)'!$A$2:$U$219,4,FALSE)</f>
        <v>#N/A</v>
      </c>
      <c r="R522" s="13"/>
      <c r="S522" s="95" t="e">
        <f>VLOOKUP(C522,'Member Details (HOF Only)'!$A$2:$U$219,7,FALSE)</f>
        <v>#N/A</v>
      </c>
      <c r="T522" s="11">
        <f t="shared" si="8"/>
        <v>0</v>
      </c>
    </row>
    <row r="523" spans="1:20" x14ac:dyDescent="0.2">
      <c r="A523" s="18"/>
      <c r="B523" s="85"/>
      <c r="C523" s="19"/>
      <c r="D523" s="31"/>
      <c r="E523" s="24"/>
      <c r="F523" s="16"/>
      <c r="G523" s="16"/>
      <c r="H523" s="16"/>
      <c r="I523" s="16"/>
      <c r="J523" s="20"/>
      <c r="K523" s="16"/>
      <c r="L523" s="16"/>
      <c r="M523" s="16"/>
      <c r="N523" s="16"/>
      <c r="O523" s="16" t="str">
        <f>IF(ISNA(VLOOKUP(C523,'Auction Summary'!$P$3:$R$600,2,FALSE)),"",VLOOKUP(C523,'Auction Summary'!$P$3:$R$600,2,FALSE))</f>
        <v/>
      </c>
      <c r="P523" s="16"/>
      <c r="Q523" s="95" t="e">
        <f>VLOOKUP(C523,'Member Details (HOF Only)'!$A$2:$U$219,4,FALSE)</f>
        <v>#N/A</v>
      </c>
      <c r="R523" s="13"/>
      <c r="S523" s="95" t="e">
        <f>VLOOKUP(C523,'Member Details (HOF Only)'!$A$2:$U$219,7,FALSE)</f>
        <v>#N/A</v>
      </c>
      <c r="T523" s="11">
        <f t="shared" si="8"/>
        <v>0</v>
      </c>
    </row>
    <row r="524" spans="1:20" x14ac:dyDescent="0.2">
      <c r="A524" s="18"/>
      <c r="B524" s="85"/>
      <c r="C524" s="19"/>
      <c r="D524" s="31"/>
      <c r="E524" s="24"/>
      <c r="F524" s="16"/>
      <c r="G524" s="16"/>
      <c r="H524" s="16"/>
      <c r="I524" s="16"/>
      <c r="J524" s="20"/>
      <c r="K524" s="24"/>
      <c r="L524" s="16"/>
      <c r="M524" s="16"/>
      <c r="N524" s="16"/>
      <c r="O524" s="16" t="str">
        <f>IF(ISNA(VLOOKUP(C524,'Auction Summary'!$P$3:$R$600,2,FALSE)),"",VLOOKUP(C524,'Auction Summary'!$P$3:$R$600,2,FALSE))</f>
        <v/>
      </c>
      <c r="P524" s="16"/>
      <c r="Q524" s="95" t="e">
        <f>VLOOKUP(C524,'Member Details (HOF Only)'!$A$2:$U$219,4,FALSE)</f>
        <v>#N/A</v>
      </c>
      <c r="R524" s="13"/>
      <c r="S524" s="95" t="e">
        <f>VLOOKUP(C524,'Member Details (HOF Only)'!$A$2:$U$219,7,FALSE)</f>
        <v>#N/A</v>
      </c>
      <c r="T524" s="11">
        <f t="shared" si="8"/>
        <v>0</v>
      </c>
    </row>
    <row r="525" spans="1:20" x14ac:dyDescent="0.2">
      <c r="A525" s="18"/>
      <c r="B525" s="85"/>
      <c r="C525" s="19"/>
      <c r="D525" s="31"/>
      <c r="E525" s="24"/>
      <c r="F525" s="16"/>
      <c r="G525" s="16"/>
      <c r="H525" s="16"/>
      <c r="I525" s="16"/>
      <c r="J525" s="20"/>
      <c r="K525" s="24"/>
      <c r="L525" s="16"/>
      <c r="M525" s="16"/>
      <c r="N525" s="16"/>
      <c r="O525" s="16" t="str">
        <f>IF(ISNA(VLOOKUP(C525,'Auction Summary'!$P$3:$R$600,2,FALSE)),"",VLOOKUP(C525,'Auction Summary'!$P$3:$R$600,2,FALSE))</f>
        <v/>
      </c>
      <c r="P525" s="16"/>
      <c r="Q525" s="95" t="e">
        <f>VLOOKUP(C525,'Member Details (HOF Only)'!$A$2:$U$219,4,FALSE)</f>
        <v>#N/A</v>
      </c>
      <c r="R525" s="13"/>
      <c r="S525" s="95" t="e">
        <f>VLOOKUP(C525,'Member Details (HOF Only)'!$A$2:$U$219,7,FALSE)</f>
        <v>#N/A</v>
      </c>
      <c r="T525" s="11">
        <f t="shared" si="8"/>
        <v>0</v>
      </c>
    </row>
    <row r="526" spans="1:20" x14ac:dyDescent="0.2">
      <c r="A526" s="18"/>
      <c r="B526" s="85"/>
      <c r="C526" s="19"/>
      <c r="D526" s="31"/>
      <c r="E526" s="24"/>
      <c r="F526" s="16"/>
      <c r="G526" s="16"/>
      <c r="H526" s="16"/>
      <c r="I526" s="16"/>
      <c r="J526" s="20"/>
      <c r="K526" s="16"/>
      <c r="L526" s="16"/>
      <c r="M526" s="16"/>
      <c r="N526" s="16"/>
      <c r="O526" s="16" t="str">
        <f>IF(ISNA(VLOOKUP(C526,'Auction Summary'!$P$3:$R$600,2,FALSE)),"",VLOOKUP(C526,'Auction Summary'!$P$3:$R$600,2,FALSE))</f>
        <v/>
      </c>
      <c r="P526" s="16"/>
      <c r="Q526" s="95" t="e">
        <f>VLOOKUP(C526,'Member Details (HOF Only)'!$A$2:$U$219,4,FALSE)</f>
        <v>#N/A</v>
      </c>
      <c r="R526" s="13"/>
      <c r="S526" s="95" t="e">
        <f>VLOOKUP(C526,'Member Details (HOF Only)'!$A$2:$U$219,7,FALSE)</f>
        <v>#N/A</v>
      </c>
      <c r="T526" s="11">
        <f t="shared" si="8"/>
        <v>0</v>
      </c>
    </row>
    <row r="527" spans="1:20" x14ac:dyDescent="0.2">
      <c r="A527" s="18"/>
      <c r="B527" s="85"/>
      <c r="C527" s="19"/>
      <c r="D527" s="31"/>
      <c r="E527" s="24"/>
      <c r="F527" s="16"/>
      <c r="G527" s="16"/>
      <c r="H527" s="16"/>
      <c r="I527" s="16"/>
      <c r="J527" s="20"/>
      <c r="K527" s="24"/>
      <c r="L527" s="16"/>
      <c r="M527" s="16"/>
      <c r="N527" s="16"/>
      <c r="O527" s="16" t="str">
        <f>IF(ISNA(VLOOKUP(C527,'Auction Summary'!$P$3:$R$600,2,FALSE)),"",VLOOKUP(C527,'Auction Summary'!$P$3:$R$600,2,FALSE))</f>
        <v/>
      </c>
      <c r="P527" s="16"/>
      <c r="Q527" s="95" t="e">
        <f>VLOOKUP(C527,'Member Details (HOF Only)'!$A$2:$U$219,4,FALSE)</f>
        <v>#N/A</v>
      </c>
      <c r="R527" s="13"/>
      <c r="S527" s="95" t="e">
        <f>VLOOKUP(C527,'Member Details (HOF Only)'!$A$2:$U$219,7,FALSE)</f>
        <v>#N/A</v>
      </c>
      <c r="T527" s="11">
        <f t="shared" si="8"/>
        <v>0</v>
      </c>
    </row>
    <row r="528" spans="1:20" x14ac:dyDescent="0.2">
      <c r="A528" s="18"/>
      <c r="B528" s="85"/>
      <c r="C528" s="19"/>
      <c r="D528" s="31"/>
      <c r="E528" s="24"/>
      <c r="F528" s="16"/>
      <c r="G528" s="16"/>
      <c r="H528" s="16"/>
      <c r="I528" s="16"/>
      <c r="J528" s="20"/>
      <c r="K528" s="24"/>
      <c r="L528" s="16"/>
      <c r="M528" s="16"/>
      <c r="N528" s="16"/>
      <c r="O528" s="16" t="str">
        <f>IF(ISNA(VLOOKUP(C528,'Auction Summary'!$P$3:$R$600,2,FALSE)),"",VLOOKUP(C528,'Auction Summary'!$P$3:$R$600,2,FALSE))</f>
        <v/>
      </c>
      <c r="P528" s="16"/>
      <c r="Q528" s="95" t="e">
        <f>VLOOKUP(C528,'Member Details (HOF Only)'!$A$2:$U$219,4,FALSE)</f>
        <v>#N/A</v>
      </c>
      <c r="R528" s="13"/>
      <c r="S528" s="95" t="e">
        <f>VLOOKUP(C528,'Member Details (HOF Only)'!$A$2:$U$219,7,FALSE)</f>
        <v>#N/A</v>
      </c>
      <c r="T528" s="11">
        <f t="shared" si="8"/>
        <v>0</v>
      </c>
    </row>
    <row r="529" spans="1:20" x14ac:dyDescent="0.2">
      <c r="A529" s="18"/>
      <c r="B529" s="85"/>
      <c r="C529" s="19"/>
      <c r="D529" s="31"/>
      <c r="E529" s="24"/>
      <c r="F529" s="16"/>
      <c r="G529" s="16"/>
      <c r="H529" s="16"/>
      <c r="I529" s="16"/>
      <c r="J529" s="20"/>
      <c r="K529" s="24"/>
      <c r="L529" s="16"/>
      <c r="M529" s="16"/>
      <c r="N529" s="16"/>
      <c r="O529" s="16" t="str">
        <f>IF(ISNA(VLOOKUP(C529,'Auction Summary'!$P$3:$R$600,2,FALSE)),"",VLOOKUP(C529,'Auction Summary'!$P$3:$R$600,2,FALSE))</f>
        <v/>
      </c>
      <c r="P529" s="16"/>
      <c r="Q529" s="95" t="e">
        <f>VLOOKUP(C529,'Member Details (HOF Only)'!$A$2:$U$219,4,FALSE)</f>
        <v>#N/A</v>
      </c>
      <c r="R529" s="13"/>
      <c r="S529" s="95" t="e">
        <f>VLOOKUP(C529,'Member Details (HOF Only)'!$A$2:$U$219,7,FALSE)</f>
        <v>#N/A</v>
      </c>
      <c r="T529" s="11">
        <f t="shared" si="8"/>
        <v>0</v>
      </c>
    </row>
    <row r="530" spans="1:20" x14ac:dyDescent="0.2">
      <c r="A530" s="18"/>
      <c r="B530" s="85"/>
      <c r="C530" s="19"/>
      <c r="D530" s="31"/>
      <c r="E530" s="24"/>
      <c r="F530" s="16"/>
      <c r="G530" s="16"/>
      <c r="H530" s="16"/>
      <c r="I530" s="16"/>
      <c r="J530" s="20"/>
      <c r="K530" s="16"/>
      <c r="L530" s="16"/>
      <c r="M530" s="16"/>
      <c r="N530" s="16"/>
      <c r="O530" s="16" t="str">
        <f>IF(ISNA(VLOOKUP(C530,'Auction Summary'!$P$3:$R$600,2,FALSE)),"",VLOOKUP(C530,'Auction Summary'!$P$3:$R$600,2,FALSE))</f>
        <v/>
      </c>
      <c r="P530" s="16"/>
      <c r="Q530" s="95" t="e">
        <f>VLOOKUP(C530,'Member Details (HOF Only)'!$A$2:$U$219,4,FALSE)</f>
        <v>#N/A</v>
      </c>
      <c r="R530" s="13"/>
      <c r="S530" s="95" t="e">
        <f>VLOOKUP(C530,'Member Details (HOF Only)'!$A$2:$U$219,7,FALSE)</f>
        <v>#N/A</v>
      </c>
      <c r="T530" s="11">
        <f t="shared" si="8"/>
        <v>0</v>
      </c>
    </row>
    <row r="531" spans="1:20" x14ac:dyDescent="0.2">
      <c r="A531" s="18"/>
      <c r="B531" s="85"/>
      <c r="C531" s="19"/>
      <c r="D531" s="31"/>
      <c r="E531" s="24"/>
      <c r="F531" s="16"/>
      <c r="G531" s="16"/>
      <c r="H531" s="16"/>
      <c r="I531" s="16"/>
      <c r="J531" s="20"/>
      <c r="K531" s="16"/>
      <c r="L531" s="16"/>
      <c r="M531" s="16"/>
      <c r="N531" s="16"/>
      <c r="O531" s="16" t="str">
        <f>IF(ISNA(VLOOKUP(C531,'Auction Summary'!$P$3:$R$600,2,FALSE)),"",VLOOKUP(C531,'Auction Summary'!$P$3:$R$600,2,FALSE))</f>
        <v/>
      </c>
      <c r="P531" s="16"/>
      <c r="Q531" s="95" t="e">
        <f>VLOOKUP(C531,'Member Details (HOF Only)'!$A$2:$U$219,4,FALSE)</f>
        <v>#N/A</v>
      </c>
      <c r="R531" s="13"/>
      <c r="S531" s="95" t="e">
        <f>VLOOKUP(C531,'Member Details (HOF Only)'!$A$2:$U$219,7,FALSE)</f>
        <v>#N/A</v>
      </c>
      <c r="T531" s="11">
        <f t="shared" si="8"/>
        <v>0</v>
      </c>
    </row>
    <row r="532" spans="1:20" x14ac:dyDescent="0.2">
      <c r="A532" s="18"/>
      <c r="B532" s="85"/>
      <c r="C532" s="19"/>
      <c r="D532" s="31"/>
      <c r="E532" s="24"/>
      <c r="F532" s="16"/>
      <c r="G532" s="16"/>
      <c r="H532" s="16"/>
      <c r="I532" s="16"/>
      <c r="J532" s="20"/>
      <c r="K532" s="16"/>
      <c r="L532" s="16"/>
      <c r="M532" s="16"/>
      <c r="N532" s="16"/>
      <c r="O532" s="16" t="str">
        <f>IF(ISNA(VLOOKUP(C532,'Auction Summary'!$P$3:$R$600,2,FALSE)),"",VLOOKUP(C532,'Auction Summary'!$P$3:$R$600,2,FALSE))</f>
        <v/>
      </c>
      <c r="P532" s="16"/>
      <c r="Q532" s="95" t="e">
        <f>VLOOKUP(C532,'Member Details (HOF Only)'!$A$2:$U$219,4,FALSE)</f>
        <v>#N/A</v>
      </c>
      <c r="R532" s="13"/>
      <c r="S532" s="95" t="e">
        <f>VLOOKUP(C532,'Member Details (HOF Only)'!$A$2:$U$219,7,FALSE)</f>
        <v>#N/A</v>
      </c>
      <c r="T532" s="11">
        <f t="shared" si="8"/>
        <v>0</v>
      </c>
    </row>
    <row r="533" spans="1:20" x14ac:dyDescent="0.2">
      <c r="A533" s="18"/>
      <c r="B533" s="85"/>
      <c r="C533" s="19"/>
      <c r="D533" s="31"/>
      <c r="E533" s="24"/>
      <c r="F533" s="16"/>
      <c r="G533" s="16"/>
      <c r="H533" s="16"/>
      <c r="I533" s="16"/>
      <c r="J533" s="20"/>
      <c r="K533" s="16"/>
      <c r="L533" s="16"/>
      <c r="M533" s="16"/>
      <c r="N533" s="16"/>
      <c r="O533" s="16" t="str">
        <f>IF(ISNA(VLOOKUP(C533,'Auction Summary'!$P$3:$R$600,2,FALSE)),"",VLOOKUP(C533,'Auction Summary'!$P$3:$R$600,2,FALSE))</f>
        <v/>
      </c>
      <c r="P533" s="16"/>
      <c r="Q533" s="95" t="e">
        <f>VLOOKUP(C533,'Member Details (HOF Only)'!$A$2:$U$219,4,FALSE)</f>
        <v>#N/A</v>
      </c>
      <c r="R533" s="13"/>
      <c r="S533" s="95" t="e">
        <f>VLOOKUP(C533,'Member Details (HOF Only)'!$A$2:$U$219,7,FALSE)</f>
        <v>#N/A</v>
      </c>
      <c r="T533" s="11">
        <f t="shared" si="8"/>
        <v>0</v>
      </c>
    </row>
    <row r="534" spans="1:20" x14ac:dyDescent="0.2">
      <c r="A534" s="18"/>
      <c r="B534" s="85"/>
      <c r="C534" s="19"/>
      <c r="D534" s="31"/>
      <c r="E534" s="24"/>
      <c r="F534" s="16"/>
      <c r="G534" s="16"/>
      <c r="H534" s="16"/>
      <c r="I534" s="16"/>
      <c r="J534" s="20"/>
      <c r="K534" s="16"/>
      <c r="L534" s="16"/>
      <c r="M534" s="16"/>
      <c r="N534" s="16"/>
      <c r="O534" s="16" t="str">
        <f>IF(ISNA(VLOOKUP(C534,'Auction Summary'!$P$3:$R$600,2,FALSE)),"",VLOOKUP(C534,'Auction Summary'!$P$3:$R$600,2,FALSE))</f>
        <v/>
      </c>
      <c r="P534" s="16"/>
      <c r="Q534" s="95" t="e">
        <f>VLOOKUP(C534,'Member Details (HOF Only)'!$A$2:$U$219,4,FALSE)</f>
        <v>#N/A</v>
      </c>
      <c r="R534" s="13"/>
      <c r="S534" s="95" t="e">
        <f>VLOOKUP(C534,'Member Details (HOF Only)'!$A$2:$U$219,7,FALSE)</f>
        <v>#N/A</v>
      </c>
      <c r="T534" s="11">
        <f t="shared" si="8"/>
        <v>0</v>
      </c>
    </row>
    <row r="535" spans="1:20" x14ac:dyDescent="0.2">
      <c r="A535" s="18"/>
      <c r="B535" s="85"/>
      <c r="C535" s="19"/>
      <c r="D535" s="31"/>
      <c r="E535" s="24"/>
      <c r="F535" s="16"/>
      <c r="G535" s="16"/>
      <c r="H535" s="16"/>
      <c r="I535" s="16"/>
      <c r="J535" s="20"/>
      <c r="K535" s="16"/>
      <c r="L535" s="16"/>
      <c r="M535" s="16"/>
      <c r="N535" s="16"/>
      <c r="O535" s="16" t="str">
        <f>IF(ISNA(VLOOKUP(C535,'Auction Summary'!$P$3:$R$600,2,FALSE)),"",VLOOKUP(C535,'Auction Summary'!$P$3:$R$600,2,FALSE))</f>
        <v/>
      </c>
      <c r="P535" s="16"/>
      <c r="Q535" s="95" t="e">
        <f>VLOOKUP(C535,'Member Details (HOF Only)'!$A$2:$U$219,4,FALSE)</f>
        <v>#N/A</v>
      </c>
      <c r="R535" s="13"/>
      <c r="S535" s="95" t="e">
        <f>VLOOKUP(C535,'Member Details (HOF Only)'!$A$2:$U$219,7,FALSE)</f>
        <v>#N/A</v>
      </c>
      <c r="T535" s="11">
        <f t="shared" si="8"/>
        <v>0</v>
      </c>
    </row>
    <row r="536" spans="1:20" x14ac:dyDescent="0.2">
      <c r="A536" s="18"/>
      <c r="B536" s="85"/>
      <c r="C536" s="19"/>
      <c r="D536" s="31"/>
      <c r="E536" s="24"/>
      <c r="F536" s="16"/>
      <c r="G536" s="16"/>
      <c r="H536" s="16"/>
      <c r="I536" s="16"/>
      <c r="J536" s="20"/>
      <c r="K536" s="16"/>
      <c r="L536" s="16"/>
      <c r="M536" s="16"/>
      <c r="N536" s="16"/>
      <c r="O536" s="16" t="str">
        <f>IF(ISNA(VLOOKUP(C536,'Auction Summary'!$P$3:$R$600,2,FALSE)),"",VLOOKUP(C536,'Auction Summary'!$P$3:$R$600,2,FALSE))</f>
        <v/>
      </c>
      <c r="P536" s="16"/>
      <c r="Q536" s="95" t="e">
        <f>VLOOKUP(C536,'Member Details (HOF Only)'!$A$2:$U$219,4,FALSE)</f>
        <v>#N/A</v>
      </c>
      <c r="R536" s="13"/>
      <c r="S536" s="95" t="e">
        <f>VLOOKUP(C536,'Member Details (HOF Only)'!$A$2:$U$219,7,FALSE)</f>
        <v>#N/A</v>
      </c>
      <c r="T536" s="11">
        <f t="shared" si="8"/>
        <v>0</v>
      </c>
    </row>
    <row r="537" spans="1:20" x14ac:dyDescent="0.2">
      <c r="A537" s="18"/>
      <c r="B537" s="85"/>
      <c r="C537" s="19"/>
      <c r="D537" s="31"/>
      <c r="E537" s="24"/>
      <c r="F537" s="16"/>
      <c r="G537" s="16"/>
      <c r="H537" s="16"/>
      <c r="I537" s="16"/>
      <c r="J537" s="20"/>
      <c r="K537" s="16"/>
      <c r="L537" s="16"/>
      <c r="M537" s="16"/>
      <c r="N537" s="16"/>
      <c r="O537" s="16" t="str">
        <f>IF(ISNA(VLOOKUP(C537,'Auction Summary'!$P$3:$R$600,2,FALSE)),"",VLOOKUP(C537,'Auction Summary'!$P$3:$R$600,2,FALSE))</f>
        <v/>
      </c>
      <c r="P537" s="16"/>
      <c r="Q537" s="95" t="e">
        <f>VLOOKUP(C537,'Member Details (HOF Only)'!$A$2:$U$219,4,FALSE)</f>
        <v>#N/A</v>
      </c>
      <c r="R537" s="13"/>
      <c r="S537" s="95" t="e">
        <f>VLOOKUP(C537,'Member Details (HOF Only)'!$A$2:$U$219,7,FALSE)</f>
        <v>#N/A</v>
      </c>
      <c r="T537" s="11">
        <f t="shared" si="8"/>
        <v>0</v>
      </c>
    </row>
    <row r="538" spans="1:20" x14ac:dyDescent="0.2">
      <c r="A538" s="18"/>
      <c r="B538" s="85"/>
      <c r="C538" s="19"/>
      <c r="D538" s="31"/>
      <c r="E538" s="24"/>
      <c r="F538" s="16"/>
      <c r="G538" s="16"/>
      <c r="H538" s="16"/>
      <c r="I538" s="16"/>
      <c r="J538" s="20"/>
      <c r="K538" s="16"/>
      <c r="L538" s="16"/>
      <c r="M538" s="16"/>
      <c r="N538" s="16"/>
      <c r="O538" s="16" t="str">
        <f>IF(ISNA(VLOOKUP(C538,'Auction Summary'!$P$3:$R$600,2,FALSE)),"",VLOOKUP(C538,'Auction Summary'!$P$3:$R$600,2,FALSE))</f>
        <v/>
      </c>
      <c r="P538" s="16"/>
      <c r="Q538" s="95" t="e">
        <f>VLOOKUP(C538,'Member Details (HOF Only)'!$A$2:$U$219,4,FALSE)</f>
        <v>#N/A</v>
      </c>
      <c r="R538" s="13"/>
      <c r="S538" s="95" t="e">
        <f>VLOOKUP(C538,'Member Details (HOF Only)'!$A$2:$U$219,7,FALSE)</f>
        <v>#N/A</v>
      </c>
      <c r="T538" s="11">
        <f t="shared" si="8"/>
        <v>0</v>
      </c>
    </row>
    <row r="539" spans="1:20" x14ac:dyDescent="0.2">
      <c r="A539" s="18"/>
      <c r="B539" s="85"/>
      <c r="C539" s="19"/>
      <c r="D539" s="31"/>
      <c r="E539" s="24"/>
      <c r="F539" s="16"/>
      <c r="G539" s="16"/>
      <c r="H539" s="16"/>
      <c r="I539" s="16"/>
      <c r="J539" s="20"/>
      <c r="K539" s="16"/>
      <c r="L539" s="16"/>
      <c r="M539" s="16"/>
      <c r="N539" s="16"/>
      <c r="O539" s="16" t="str">
        <f>IF(ISNA(VLOOKUP(C539,'Auction Summary'!$P$3:$R$600,2,FALSE)),"",VLOOKUP(C539,'Auction Summary'!$P$3:$R$600,2,FALSE))</f>
        <v/>
      </c>
      <c r="P539" s="16"/>
      <c r="Q539" s="95" t="e">
        <f>VLOOKUP(C539,'Member Details (HOF Only)'!$A$2:$U$219,4,FALSE)</f>
        <v>#N/A</v>
      </c>
      <c r="R539" s="13"/>
      <c r="S539" s="95" t="e">
        <f>VLOOKUP(C539,'Member Details (HOF Only)'!$A$2:$U$219,7,FALSE)</f>
        <v>#N/A</v>
      </c>
      <c r="T539" s="11">
        <f t="shared" si="8"/>
        <v>0</v>
      </c>
    </row>
    <row r="540" spans="1:20" x14ac:dyDescent="0.2">
      <c r="A540" s="18"/>
      <c r="B540" s="85"/>
      <c r="C540" s="19"/>
      <c r="D540" s="31"/>
      <c r="E540" s="24"/>
      <c r="F540" s="16"/>
      <c r="G540" s="16"/>
      <c r="H540" s="16"/>
      <c r="I540" s="16"/>
      <c r="J540" s="20"/>
      <c r="K540" s="16"/>
      <c r="L540" s="16"/>
      <c r="M540" s="16"/>
      <c r="N540" s="16"/>
      <c r="O540" s="16" t="str">
        <f>IF(ISNA(VLOOKUP(C540,'Auction Summary'!$P$3:$R$600,2,FALSE)),"",VLOOKUP(C540,'Auction Summary'!$P$3:$R$600,2,FALSE))</f>
        <v/>
      </c>
      <c r="P540" s="16"/>
      <c r="Q540" s="95" t="e">
        <f>VLOOKUP(C540,'Member Details (HOF Only)'!$A$2:$U$219,4,FALSE)</f>
        <v>#N/A</v>
      </c>
      <c r="R540" s="13"/>
      <c r="S540" s="95" t="e">
        <f>VLOOKUP(C540,'Member Details (HOF Only)'!$A$2:$U$219,7,FALSE)</f>
        <v>#N/A</v>
      </c>
      <c r="T540" s="11">
        <f t="shared" si="8"/>
        <v>0</v>
      </c>
    </row>
    <row r="541" spans="1:20" x14ac:dyDescent="0.2">
      <c r="A541" s="18"/>
      <c r="B541" s="85"/>
      <c r="C541" s="19"/>
      <c r="D541" s="31"/>
      <c r="E541" s="24"/>
      <c r="F541" s="16"/>
      <c r="G541" s="16"/>
      <c r="H541" s="16"/>
      <c r="I541" s="16"/>
      <c r="J541" s="20"/>
      <c r="K541" s="16"/>
      <c r="L541" s="16"/>
      <c r="M541" s="16"/>
      <c r="N541" s="16"/>
      <c r="O541" s="16" t="str">
        <f>IF(ISNA(VLOOKUP(C541,'Auction Summary'!$P$3:$R$600,2,FALSE)),"",VLOOKUP(C541,'Auction Summary'!$P$3:$R$600,2,FALSE))</f>
        <v/>
      </c>
      <c r="P541" s="16"/>
      <c r="Q541" s="95" t="e">
        <f>VLOOKUP(C541,'Member Details (HOF Only)'!$A$2:$U$219,4,FALSE)</f>
        <v>#N/A</v>
      </c>
      <c r="R541" s="13"/>
      <c r="S541" s="95" t="e">
        <f>VLOOKUP(C541,'Member Details (HOF Only)'!$A$2:$U$219,7,FALSE)</f>
        <v>#N/A</v>
      </c>
      <c r="T541" s="11">
        <f t="shared" si="8"/>
        <v>0</v>
      </c>
    </row>
    <row r="542" spans="1:20" x14ac:dyDescent="0.2">
      <c r="A542" s="18"/>
      <c r="B542" s="85"/>
      <c r="C542" s="19"/>
      <c r="D542" s="31"/>
      <c r="E542" s="24"/>
      <c r="F542" s="16"/>
      <c r="G542" s="16"/>
      <c r="H542" s="16"/>
      <c r="I542" s="16"/>
      <c r="J542" s="20"/>
      <c r="K542" s="16"/>
      <c r="L542" s="16"/>
      <c r="M542" s="16"/>
      <c r="N542" s="16"/>
      <c r="O542" s="16" t="str">
        <f>IF(ISNA(VLOOKUP(C542,'Auction Summary'!$P$3:$R$600,2,FALSE)),"",VLOOKUP(C542,'Auction Summary'!$P$3:$R$600,2,FALSE))</f>
        <v/>
      </c>
      <c r="P542" s="16"/>
      <c r="Q542" s="95" t="e">
        <f>VLOOKUP(C542,'Member Details (HOF Only)'!$A$2:$U$219,4,FALSE)</f>
        <v>#N/A</v>
      </c>
      <c r="R542" s="13"/>
      <c r="S542" s="95" t="e">
        <f>VLOOKUP(C542,'Member Details (HOF Only)'!$A$2:$U$219,7,FALSE)</f>
        <v>#N/A</v>
      </c>
      <c r="T542" s="11">
        <f t="shared" si="8"/>
        <v>0</v>
      </c>
    </row>
    <row r="543" spans="1:20" x14ac:dyDescent="0.2">
      <c r="A543" s="18"/>
      <c r="B543" s="85"/>
      <c r="C543" s="19"/>
      <c r="D543" s="31"/>
      <c r="E543" s="24"/>
      <c r="F543" s="16"/>
      <c r="G543" s="16"/>
      <c r="H543" s="16"/>
      <c r="I543" s="16"/>
      <c r="J543" s="20"/>
      <c r="K543" s="16"/>
      <c r="L543" s="16"/>
      <c r="M543" s="16"/>
      <c r="N543" s="16"/>
      <c r="O543" s="16" t="str">
        <f>IF(ISNA(VLOOKUP(C543,'Auction Summary'!$P$3:$R$600,2,FALSE)),"",VLOOKUP(C543,'Auction Summary'!$P$3:$R$600,2,FALSE))</f>
        <v/>
      </c>
      <c r="P543" s="16"/>
      <c r="Q543" s="95" t="e">
        <f>VLOOKUP(C543,'Member Details (HOF Only)'!$A$2:$U$219,4,FALSE)</f>
        <v>#N/A</v>
      </c>
      <c r="R543" s="13"/>
      <c r="S543" s="95" t="e">
        <f>VLOOKUP(C543,'Member Details (HOF Only)'!$A$2:$U$219,7,FALSE)</f>
        <v>#N/A</v>
      </c>
      <c r="T543" s="11">
        <f t="shared" si="8"/>
        <v>0</v>
      </c>
    </row>
    <row r="544" spans="1:20" x14ac:dyDescent="0.2">
      <c r="A544" s="18"/>
      <c r="B544" s="85"/>
      <c r="C544" s="19"/>
      <c r="D544" s="31"/>
      <c r="E544" s="24"/>
      <c r="F544" s="16"/>
      <c r="G544" s="16"/>
      <c r="H544" s="16"/>
      <c r="I544" s="16"/>
      <c r="J544" s="20"/>
      <c r="K544" s="16"/>
      <c r="L544" s="16"/>
      <c r="M544" s="16"/>
      <c r="N544" s="16"/>
      <c r="O544" s="16" t="str">
        <f>IF(ISNA(VLOOKUP(C544,'Auction Summary'!$P$3:$R$600,2,FALSE)),"",VLOOKUP(C544,'Auction Summary'!$P$3:$R$600,2,FALSE))</f>
        <v/>
      </c>
      <c r="P544" s="16"/>
      <c r="Q544" s="95" t="e">
        <f>VLOOKUP(C544,'Member Details (HOF Only)'!$A$2:$U$219,4,FALSE)</f>
        <v>#N/A</v>
      </c>
      <c r="R544" s="13"/>
      <c r="S544" s="95" t="e">
        <f>VLOOKUP(C544,'Member Details (HOF Only)'!$A$2:$U$219,7,FALSE)</f>
        <v>#N/A</v>
      </c>
      <c r="T544" s="11">
        <f t="shared" si="8"/>
        <v>0</v>
      </c>
    </row>
    <row r="545" spans="1:20" x14ac:dyDescent="0.2">
      <c r="A545" s="18"/>
      <c r="B545" s="85"/>
      <c r="C545" s="19"/>
      <c r="D545" s="31"/>
      <c r="E545" s="24"/>
      <c r="F545" s="16"/>
      <c r="G545" s="16"/>
      <c r="H545" s="16"/>
      <c r="I545" s="16"/>
      <c r="J545" s="20"/>
      <c r="K545" s="24"/>
      <c r="L545" s="16"/>
      <c r="M545" s="16"/>
      <c r="N545" s="16"/>
      <c r="O545" s="16" t="str">
        <f>IF(ISNA(VLOOKUP(C545,'Auction Summary'!$P$3:$R$600,2,FALSE)),"",VLOOKUP(C545,'Auction Summary'!$P$3:$R$600,2,FALSE))</f>
        <v/>
      </c>
      <c r="P545" s="16"/>
      <c r="Q545" s="95" t="e">
        <f>VLOOKUP(C545,'Member Details (HOF Only)'!$A$2:$U$219,4,FALSE)</f>
        <v>#N/A</v>
      </c>
      <c r="R545" s="13"/>
      <c r="S545" s="95" t="e">
        <f>VLOOKUP(C545,'Member Details (HOF Only)'!$A$2:$U$219,7,FALSE)</f>
        <v>#N/A</v>
      </c>
      <c r="T545" s="11">
        <f t="shared" si="8"/>
        <v>0</v>
      </c>
    </row>
    <row r="546" spans="1:20" x14ac:dyDescent="0.2">
      <c r="A546" s="18"/>
      <c r="B546" s="85"/>
      <c r="C546" s="19"/>
      <c r="D546" s="31"/>
      <c r="E546" s="24"/>
      <c r="F546" s="16"/>
      <c r="G546" s="16"/>
      <c r="H546" s="16"/>
      <c r="I546" s="16"/>
      <c r="J546" s="20"/>
      <c r="K546" s="16"/>
      <c r="L546" s="16"/>
      <c r="M546" s="16"/>
      <c r="N546" s="16"/>
      <c r="O546" s="16" t="str">
        <f>IF(ISNA(VLOOKUP(C546,'Auction Summary'!$P$3:$R$600,2,FALSE)),"",VLOOKUP(C546,'Auction Summary'!$P$3:$R$600,2,FALSE))</f>
        <v/>
      </c>
      <c r="P546" s="16"/>
      <c r="Q546" s="95" t="e">
        <f>VLOOKUP(C546,'Member Details (HOF Only)'!$A$2:$U$219,4,FALSE)</f>
        <v>#N/A</v>
      </c>
      <c r="R546" s="13"/>
      <c r="S546" s="95" t="e">
        <f>VLOOKUP(C546,'Member Details (HOF Only)'!$A$2:$U$219,7,FALSE)</f>
        <v>#N/A</v>
      </c>
      <c r="T546" s="11">
        <f t="shared" si="8"/>
        <v>0</v>
      </c>
    </row>
    <row r="547" spans="1:20" x14ac:dyDescent="0.2">
      <c r="A547" s="18"/>
      <c r="B547" s="85"/>
      <c r="C547" s="19"/>
      <c r="D547" s="31"/>
      <c r="E547" s="24"/>
      <c r="F547" s="16"/>
      <c r="G547" s="16"/>
      <c r="H547" s="16"/>
      <c r="I547" s="16"/>
      <c r="J547" s="20"/>
      <c r="K547" s="16"/>
      <c r="L547" s="16"/>
      <c r="M547" s="16"/>
      <c r="N547" s="16"/>
      <c r="O547" s="16" t="str">
        <f>IF(ISNA(VLOOKUP(C547,'Auction Summary'!$P$3:$R$600,2,FALSE)),"",VLOOKUP(C547,'Auction Summary'!$P$3:$R$600,2,FALSE))</f>
        <v/>
      </c>
      <c r="P547" s="16"/>
      <c r="Q547" s="95" t="e">
        <f>VLOOKUP(C547,'Member Details (HOF Only)'!$A$2:$U$219,4,FALSE)</f>
        <v>#N/A</v>
      </c>
      <c r="R547" s="13"/>
      <c r="S547" s="95" t="e">
        <f>VLOOKUP(C547,'Member Details (HOF Only)'!$A$2:$U$219,7,FALSE)</f>
        <v>#N/A</v>
      </c>
      <c r="T547" s="11">
        <f t="shared" si="8"/>
        <v>0</v>
      </c>
    </row>
    <row r="548" spans="1:20" x14ac:dyDescent="0.2">
      <c r="A548" s="18"/>
      <c r="B548" s="85"/>
      <c r="C548" s="19"/>
      <c r="D548" s="31"/>
      <c r="E548" s="24"/>
      <c r="F548" s="16"/>
      <c r="G548" s="16"/>
      <c r="H548" s="16"/>
      <c r="I548" s="16"/>
      <c r="J548" s="20"/>
      <c r="K548" s="16"/>
      <c r="L548" s="16"/>
      <c r="M548" s="16"/>
      <c r="N548" s="16"/>
      <c r="O548" s="16" t="str">
        <f>IF(ISNA(VLOOKUP(C548,'Auction Summary'!$P$3:$R$600,2,FALSE)),"",VLOOKUP(C548,'Auction Summary'!$P$3:$R$600,2,FALSE))</f>
        <v/>
      </c>
      <c r="P548" s="16"/>
      <c r="Q548" s="95" t="e">
        <f>VLOOKUP(C548,'Member Details (HOF Only)'!$A$2:$U$219,4,FALSE)</f>
        <v>#N/A</v>
      </c>
      <c r="R548" s="13"/>
      <c r="S548" s="95" t="e">
        <f>VLOOKUP(C548,'Member Details (HOF Only)'!$A$2:$U$219,7,FALSE)</f>
        <v>#N/A</v>
      </c>
      <c r="T548" s="11">
        <f t="shared" si="8"/>
        <v>0</v>
      </c>
    </row>
    <row r="549" spans="1:20" x14ac:dyDescent="0.2">
      <c r="A549" s="18"/>
      <c r="B549" s="85"/>
      <c r="C549" s="19"/>
      <c r="D549" s="31"/>
      <c r="E549" s="24"/>
      <c r="F549" s="16"/>
      <c r="G549" s="16"/>
      <c r="H549" s="16"/>
      <c r="I549" s="16"/>
      <c r="J549" s="20"/>
      <c r="K549" s="16"/>
      <c r="L549" s="16"/>
      <c r="M549" s="16"/>
      <c r="N549" s="16"/>
      <c r="O549" s="16" t="str">
        <f>IF(ISNA(VLOOKUP(C549,'Auction Summary'!$P$3:$R$600,2,FALSE)),"",VLOOKUP(C549,'Auction Summary'!$P$3:$R$600,2,FALSE))</f>
        <v/>
      </c>
      <c r="P549" s="16"/>
      <c r="Q549" s="95" t="e">
        <f>VLOOKUP(C549,'Member Details (HOF Only)'!$A$2:$U$219,4,FALSE)</f>
        <v>#N/A</v>
      </c>
      <c r="R549" s="13"/>
      <c r="S549" s="95" t="e">
        <f>VLOOKUP(C549,'Member Details (HOF Only)'!$A$2:$U$219,7,FALSE)</f>
        <v>#N/A</v>
      </c>
      <c r="T549" s="11">
        <f t="shared" si="8"/>
        <v>0</v>
      </c>
    </row>
    <row r="550" spans="1:20" x14ac:dyDescent="0.2">
      <c r="A550" s="18"/>
      <c r="B550" s="85"/>
      <c r="C550" s="19"/>
      <c r="D550" s="31"/>
      <c r="E550" s="24"/>
      <c r="F550" s="16"/>
      <c r="G550" s="16"/>
      <c r="H550" s="16"/>
      <c r="I550" s="16"/>
      <c r="J550" s="20"/>
      <c r="K550" s="16"/>
      <c r="L550" s="16"/>
      <c r="M550" s="16"/>
      <c r="N550" s="16"/>
      <c r="O550" s="16" t="str">
        <f>IF(ISNA(VLOOKUP(C550,'Auction Summary'!$P$3:$R$600,2,FALSE)),"",VLOOKUP(C550,'Auction Summary'!$P$3:$R$600,2,FALSE))</f>
        <v/>
      </c>
      <c r="P550" s="16"/>
      <c r="Q550" s="95" t="e">
        <f>VLOOKUP(C550,'Member Details (HOF Only)'!$A$2:$U$219,4,FALSE)</f>
        <v>#N/A</v>
      </c>
      <c r="R550" s="13"/>
      <c r="S550" s="95" t="e">
        <f>VLOOKUP(C550,'Member Details (HOF Only)'!$A$2:$U$219,7,FALSE)</f>
        <v>#N/A</v>
      </c>
      <c r="T550" s="11">
        <f t="shared" si="8"/>
        <v>0</v>
      </c>
    </row>
    <row r="551" spans="1:20" x14ac:dyDescent="0.2">
      <c r="A551" s="18"/>
      <c r="B551" s="85"/>
      <c r="C551" s="19"/>
      <c r="D551" s="31"/>
      <c r="E551" s="24"/>
      <c r="F551" s="16"/>
      <c r="G551" s="16"/>
      <c r="H551" s="16"/>
      <c r="I551" s="16"/>
      <c r="J551" s="20"/>
      <c r="K551" s="16"/>
      <c r="L551" s="16"/>
      <c r="M551" s="16"/>
      <c r="N551" s="16"/>
      <c r="O551" s="16" t="str">
        <f>IF(ISNA(VLOOKUP(C551,'Auction Summary'!$P$3:$R$600,2,FALSE)),"",VLOOKUP(C551,'Auction Summary'!$P$3:$R$600,2,FALSE))</f>
        <v/>
      </c>
      <c r="P551" s="16"/>
      <c r="Q551" s="95" t="e">
        <f>VLOOKUP(C551,'Member Details (HOF Only)'!$A$2:$U$219,4,FALSE)</f>
        <v>#N/A</v>
      </c>
      <c r="R551" s="13"/>
      <c r="S551" s="95" t="e">
        <f>VLOOKUP(C551,'Member Details (HOF Only)'!$A$2:$U$219,7,FALSE)</f>
        <v>#N/A</v>
      </c>
      <c r="T551" s="11">
        <f t="shared" si="8"/>
        <v>0</v>
      </c>
    </row>
    <row r="552" spans="1:20" x14ac:dyDescent="0.2">
      <c r="A552" s="18"/>
      <c r="B552" s="85"/>
      <c r="C552" s="19"/>
      <c r="D552" s="31"/>
      <c r="E552" s="24"/>
      <c r="F552" s="16"/>
      <c r="G552" s="16"/>
      <c r="H552" s="16"/>
      <c r="I552" s="16"/>
      <c r="J552" s="20"/>
      <c r="K552" s="16"/>
      <c r="L552" s="16"/>
      <c r="M552" s="16"/>
      <c r="N552" s="16"/>
      <c r="O552" s="16" t="str">
        <f>IF(ISNA(VLOOKUP(C552,'Auction Summary'!$P$3:$R$600,2,FALSE)),"",VLOOKUP(C552,'Auction Summary'!$P$3:$R$600,2,FALSE))</f>
        <v/>
      </c>
      <c r="P552" s="16"/>
      <c r="Q552" s="95" t="e">
        <f>VLOOKUP(C552,'Member Details (HOF Only)'!$A$2:$U$219,4,FALSE)</f>
        <v>#N/A</v>
      </c>
      <c r="R552" s="13"/>
      <c r="S552" s="95" t="e">
        <f>VLOOKUP(C552,'Member Details (HOF Only)'!$A$2:$U$219,7,FALSE)</f>
        <v>#N/A</v>
      </c>
      <c r="T552" s="11">
        <f t="shared" si="8"/>
        <v>0</v>
      </c>
    </row>
    <row r="553" spans="1:20" x14ac:dyDescent="0.2">
      <c r="A553" s="18"/>
      <c r="B553" s="85"/>
      <c r="C553" s="19"/>
      <c r="D553" s="31"/>
      <c r="E553" s="24"/>
      <c r="F553" s="16"/>
      <c r="G553" s="16"/>
      <c r="H553" s="16"/>
      <c r="I553" s="16"/>
      <c r="J553" s="20"/>
      <c r="K553" s="16"/>
      <c r="L553" s="16"/>
      <c r="M553" s="16"/>
      <c r="N553" s="16"/>
      <c r="O553" s="16" t="str">
        <f>IF(ISNA(VLOOKUP(C553,'Auction Summary'!$P$3:$R$600,2,FALSE)),"",VLOOKUP(C553,'Auction Summary'!$P$3:$R$600,2,FALSE))</f>
        <v/>
      </c>
      <c r="P553" s="16"/>
      <c r="Q553" s="95" t="e">
        <f>VLOOKUP(C553,'Member Details (HOF Only)'!$A$2:$U$219,4,FALSE)</f>
        <v>#N/A</v>
      </c>
      <c r="R553" s="13"/>
      <c r="S553" s="95" t="e">
        <f>VLOOKUP(C553,'Member Details (HOF Only)'!$A$2:$U$219,7,FALSE)</f>
        <v>#N/A</v>
      </c>
      <c r="T553" s="11">
        <f t="shared" si="8"/>
        <v>0</v>
      </c>
    </row>
    <row r="554" spans="1:20" x14ac:dyDescent="0.2">
      <c r="A554" s="18"/>
      <c r="B554" s="85"/>
      <c r="C554" s="19"/>
      <c r="D554" s="31"/>
      <c r="E554" s="24"/>
      <c r="F554" s="16"/>
      <c r="G554" s="16"/>
      <c r="H554" s="16"/>
      <c r="I554" s="16"/>
      <c r="J554" s="20"/>
      <c r="K554" s="24"/>
      <c r="L554" s="16"/>
      <c r="M554" s="16"/>
      <c r="N554" s="16"/>
      <c r="O554" s="16" t="str">
        <f>IF(ISNA(VLOOKUP(C554,'Auction Summary'!$P$3:$R$600,2,FALSE)),"",VLOOKUP(C554,'Auction Summary'!$P$3:$R$600,2,FALSE))</f>
        <v/>
      </c>
      <c r="P554" s="16"/>
      <c r="Q554" s="95" t="e">
        <f>VLOOKUP(C554,'Member Details (HOF Only)'!$A$2:$U$219,4,FALSE)</f>
        <v>#N/A</v>
      </c>
      <c r="R554" s="13"/>
      <c r="S554" s="95" t="e">
        <f>VLOOKUP(C554,'Member Details (HOF Only)'!$A$2:$U$219,7,FALSE)</f>
        <v>#N/A</v>
      </c>
      <c r="T554" s="11">
        <f t="shared" si="8"/>
        <v>0</v>
      </c>
    </row>
    <row r="555" spans="1:20" x14ac:dyDescent="0.2">
      <c r="A555" s="18"/>
      <c r="B555" s="85"/>
      <c r="C555" s="19"/>
      <c r="D555" s="31"/>
      <c r="E555" s="24"/>
      <c r="F555" s="16"/>
      <c r="G555" s="16"/>
      <c r="H555" s="16"/>
      <c r="I555" s="16"/>
      <c r="J555" s="20"/>
      <c r="K555" s="24"/>
      <c r="L555" s="16"/>
      <c r="M555" s="16"/>
      <c r="N555" s="16"/>
      <c r="O555" s="16" t="str">
        <f>IF(ISNA(VLOOKUP(C555,'Auction Summary'!$P$3:$R$600,2,FALSE)),"",VLOOKUP(C555,'Auction Summary'!$P$3:$R$600,2,FALSE))</f>
        <v/>
      </c>
      <c r="P555" s="16"/>
      <c r="Q555" s="95" t="e">
        <f>VLOOKUP(C555,'Member Details (HOF Only)'!$A$2:$U$219,4,FALSE)</f>
        <v>#N/A</v>
      </c>
      <c r="R555" s="13"/>
      <c r="S555" s="95" t="e">
        <f>VLOOKUP(C555,'Member Details (HOF Only)'!$A$2:$U$219,7,FALSE)</f>
        <v>#N/A</v>
      </c>
      <c r="T555" s="11">
        <f t="shared" si="8"/>
        <v>0</v>
      </c>
    </row>
    <row r="556" spans="1:20" x14ac:dyDescent="0.2">
      <c r="A556" s="18"/>
      <c r="B556" s="85"/>
      <c r="C556" s="19"/>
      <c r="D556" s="31"/>
      <c r="E556" s="24"/>
      <c r="F556" s="16"/>
      <c r="G556" s="16"/>
      <c r="H556" s="16"/>
      <c r="I556" s="16"/>
      <c r="J556" s="20"/>
      <c r="K556" s="16"/>
      <c r="L556" s="16"/>
      <c r="M556" s="16"/>
      <c r="N556" s="16"/>
      <c r="O556" s="16" t="str">
        <f>IF(ISNA(VLOOKUP(C556,'Auction Summary'!$P$3:$R$600,2,FALSE)),"",VLOOKUP(C556,'Auction Summary'!$P$3:$R$600,2,FALSE))</f>
        <v/>
      </c>
      <c r="P556" s="16"/>
      <c r="Q556" s="95" t="e">
        <f>VLOOKUP(C556,'Member Details (HOF Only)'!$A$2:$U$219,4,FALSE)</f>
        <v>#N/A</v>
      </c>
      <c r="R556" s="13"/>
      <c r="S556" s="95" t="e">
        <f>VLOOKUP(C556,'Member Details (HOF Only)'!$A$2:$U$219,7,FALSE)</f>
        <v>#N/A</v>
      </c>
      <c r="T556" s="11">
        <f t="shared" si="8"/>
        <v>0</v>
      </c>
    </row>
    <row r="557" spans="1:20" x14ac:dyDescent="0.2">
      <c r="A557" s="18"/>
      <c r="B557" s="85"/>
      <c r="C557" s="19"/>
      <c r="D557" s="31"/>
      <c r="E557" s="24"/>
      <c r="F557" s="16"/>
      <c r="G557" s="16"/>
      <c r="H557" s="16"/>
      <c r="I557" s="16"/>
      <c r="J557" s="20"/>
      <c r="K557" s="16"/>
      <c r="L557" s="16"/>
      <c r="M557" s="16"/>
      <c r="N557" s="16"/>
      <c r="O557" s="16" t="str">
        <f>IF(ISNA(VLOOKUP(C557,'Auction Summary'!$P$3:$R$600,2,FALSE)),"",VLOOKUP(C557,'Auction Summary'!$P$3:$R$600,2,FALSE))</f>
        <v/>
      </c>
      <c r="P557" s="16"/>
      <c r="Q557" s="95" t="e">
        <f>VLOOKUP(C557,'Member Details (HOF Only)'!$A$2:$U$219,4,FALSE)</f>
        <v>#N/A</v>
      </c>
      <c r="R557" s="13"/>
      <c r="S557" s="95" t="e">
        <f>VLOOKUP(C557,'Member Details (HOF Only)'!$A$2:$U$219,7,FALSE)</f>
        <v>#N/A</v>
      </c>
      <c r="T557" s="11">
        <f t="shared" si="8"/>
        <v>0</v>
      </c>
    </row>
    <row r="558" spans="1:20" x14ac:dyDescent="0.2">
      <c r="A558" s="18"/>
      <c r="B558" s="85"/>
      <c r="C558" s="19"/>
      <c r="D558" s="31"/>
      <c r="E558" s="24"/>
      <c r="F558" s="16"/>
      <c r="G558" s="16"/>
      <c r="H558" s="16"/>
      <c r="I558" s="16"/>
      <c r="J558" s="20"/>
      <c r="K558" s="16"/>
      <c r="L558" s="16"/>
      <c r="M558" s="16"/>
      <c r="N558" s="16"/>
      <c r="O558" s="16" t="str">
        <f>IF(ISNA(VLOOKUP(C558,'Auction Summary'!$P$3:$R$600,2,FALSE)),"",VLOOKUP(C558,'Auction Summary'!$P$3:$R$600,2,FALSE))</f>
        <v/>
      </c>
      <c r="P558" s="16"/>
      <c r="Q558" s="95" t="e">
        <f>VLOOKUP(C558,'Member Details (HOF Only)'!$A$2:$U$219,4,FALSE)</f>
        <v>#N/A</v>
      </c>
      <c r="R558" s="13"/>
      <c r="S558" s="95" t="e">
        <f>VLOOKUP(C558,'Member Details (HOF Only)'!$A$2:$U$219,7,FALSE)</f>
        <v>#N/A</v>
      </c>
      <c r="T558" s="11">
        <f t="shared" si="8"/>
        <v>0</v>
      </c>
    </row>
    <row r="559" spans="1:20" x14ac:dyDescent="0.2">
      <c r="A559" s="18"/>
      <c r="B559" s="85"/>
      <c r="C559" s="19"/>
      <c r="D559" s="31"/>
      <c r="E559" s="24"/>
      <c r="F559" s="16"/>
      <c r="G559" s="16"/>
      <c r="H559" s="16"/>
      <c r="I559" s="16"/>
      <c r="J559" s="20"/>
      <c r="K559" s="24"/>
      <c r="L559" s="16"/>
      <c r="M559" s="16"/>
      <c r="N559" s="16"/>
      <c r="O559" s="16" t="str">
        <f>IF(ISNA(VLOOKUP(C559,'Auction Summary'!$P$3:$R$600,2,FALSE)),"",VLOOKUP(C559,'Auction Summary'!$P$3:$R$600,2,FALSE))</f>
        <v/>
      </c>
      <c r="P559" s="16"/>
      <c r="Q559" s="95" t="e">
        <f>VLOOKUP(C559,'Member Details (HOF Only)'!$A$2:$U$219,4,FALSE)</f>
        <v>#N/A</v>
      </c>
      <c r="R559" s="13"/>
      <c r="S559" s="95" t="e">
        <f>VLOOKUP(C559,'Member Details (HOF Only)'!$A$2:$U$219,7,FALSE)</f>
        <v>#N/A</v>
      </c>
      <c r="T559" s="11">
        <f t="shared" si="8"/>
        <v>0</v>
      </c>
    </row>
    <row r="560" spans="1:20" x14ac:dyDescent="0.2">
      <c r="A560" s="18"/>
      <c r="B560" s="85"/>
      <c r="C560" s="19"/>
      <c r="D560" s="31"/>
      <c r="E560" s="24"/>
      <c r="F560" s="16"/>
      <c r="G560" s="16"/>
      <c r="H560" s="16"/>
      <c r="I560" s="16"/>
      <c r="J560" s="20"/>
      <c r="K560" s="24"/>
      <c r="L560" s="16"/>
      <c r="M560" s="16"/>
      <c r="N560" s="16"/>
      <c r="O560" s="16" t="str">
        <f>IF(ISNA(VLOOKUP(C560,'Auction Summary'!$P$3:$R$600,2,FALSE)),"",VLOOKUP(C560,'Auction Summary'!$P$3:$R$600,2,FALSE))</f>
        <v/>
      </c>
      <c r="P560" s="16"/>
      <c r="Q560" s="95" t="e">
        <f>VLOOKUP(C560,'Member Details (HOF Only)'!$A$2:$U$219,4,FALSE)</f>
        <v>#N/A</v>
      </c>
      <c r="R560" s="13"/>
      <c r="S560" s="95" t="e">
        <f>VLOOKUP(C560,'Member Details (HOF Only)'!$A$2:$U$219,7,FALSE)</f>
        <v>#N/A</v>
      </c>
      <c r="T560" s="11">
        <f t="shared" si="8"/>
        <v>0</v>
      </c>
    </row>
    <row r="561" spans="1:20" x14ac:dyDescent="0.2">
      <c r="A561" s="18"/>
      <c r="B561" s="85"/>
      <c r="C561" s="19"/>
      <c r="D561" s="31"/>
      <c r="E561" s="24"/>
      <c r="F561" s="16"/>
      <c r="G561" s="16"/>
      <c r="H561" s="16"/>
      <c r="I561" s="16"/>
      <c r="J561" s="20"/>
      <c r="K561" s="16"/>
      <c r="L561" s="16"/>
      <c r="M561" s="16"/>
      <c r="N561" s="16"/>
      <c r="O561" s="16" t="str">
        <f>IF(ISNA(VLOOKUP(C561,'Auction Summary'!$P$3:$R$600,2,FALSE)),"",VLOOKUP(C561,'Auction Summary'!$P$3:$R$600,2,FALSE))</f>
        <v/>
      </c>
      <c r="P561" s="16"/>
      <c r="Q561" s="95" t="e">
        <f>VLOOKUP(C561,'Member Details (HOF Only)'!$A$2:$U$219,4,FALSE)</f>
        <v>#N/A</v>
      </c>
      <c r="R561" s="13"/>
      <c r="S561" s="95" t="e">
        <f>VLOOKUP(C561,'Member Details (HOF Only)'!$A$2:$U$219,7,FALSE)</f>
        <v>#N/A</v>
      </c>
      <c r="T561" s="11">
        <f t="shared" si="8"/>
        <v>0</v>
      </c>
    </row>
    <row r="562" spans="1:20" x14ac:dyDescent="0.2">
      <c r="A562" s="18"/>
      <c r="B562" s="85"/>
      <c r="C562" s="19"/>
      <c r="D562" s="31"/>
      <c r="E562" s="24"/>
      <c r="F562" s="16"/>
      <c r="G562" s="16"/>
      <c r="H562" s="16"/>
      <c r="I562" s="16"/>
      <c r="J562" s="20"/>
      <c r="K562" s="16"/>
      <c r="L562" s="16"/>
      <c r="M562" s="16"/>
      <c r="N562" s="16"/>
      <c r="O562" s="16" t="str">
        <f>IF(ISNA(VLOOKUP(C562,'Auction Summary'!$P$3:$R$600,2,FALSE)),"",VLOOKUP(C562,'Auction Summary'!$P$3:$R$600,2,FALSE))</f>
        <v/>
      </c>
      <c r="P562" s="16"/>
      <c r="Q562" s="95" t="e">
        <f>VLOOKUP(C562,'Member Details (HOF Only)'!$A$2:$U$219,4,FALSE)</f>
        <v>#N/A</v>
      </c>
      <c r="R562" s="13"/>
      <c r="S562" s="95" t="e">
        <f>VLOOKUP(C562,'Member Details (HOF Only)'!$A$2:$U$219,7,FALSE)</f>
        <v>#N/A</v>
      </c>
      <c r="T562" s="11">
        <f t="shared" si="8"/>
        <v>0</v>
      </c>
    </row>
    <row r="563" spans="1:20" x14ac:dyDescent="0.2">
      <c r="A563" s="18"/>
      <c r="B563" s="85"/>
      <c r="C563" s="19"/>
      <c r="D563" s="31"/>
      <c r="E563" s="24"/>
      <c r="F563" s="16"/>
      <c r="G563" s="16"/>
      <c r="H563" s="16"/>
      <c r="I563" s="16"/>
      <c r="J563" s="20"/>
      <c r="K563" s="16"/>
      <c r="L563" s="16"/>
      <c r="M563" s="16"/>
      <c r="N563" s="16"/>
      <c r="O563" s="16" t="str">
        <f>IF(ISNA(VLOOKUP(C563,'Auction Summary'!$P$3:$R$600,2,FALSE)),"",VLOOKUP(C563,'Auction Summary'!$P$3:$R$600,2,FALSE))</f>
        <v/>
      </c>
      <c r="P563" s="16"/>
      <c r="Q563" s="95" t="e">
        <f>VLOOKUP(C563,'Member Details (HOF Only)'!$A$2:$U$219,4,FALSE)</f>
        <v>#N/A</v>
      </c>
      <c r="R563" s="13"/>
      <c r="S563" s="95" t="e">
        <f>VLOOKUP(C563,'Member Details (HOF Only)'!$A$2:$U$219,7,FALSE)</f>
        <v>#N/A</v>
      </c>
      <c r="T563" s="11">
        <f t="shared" si="8"/>
        <v>0</v>
      </c>
    </row>
    <row r="564" spans="1:20" x14ac:dyDescent="0.2">
      <c r="A564" s="18"/>
      <c r="B564" s="85"/>
      <c r="C564" s="19"/>
      <c r="D564" s="31"/>
      <c r="E564" s="24"/>
      <c r="F564" s="16"/>
      <c r="G564" s="16"/>
      <c r="H564" s="16"/>
      <c r="I564" s="16"/>
      <c r="J564" s="20"/>
      <c r="K564" s="16"/>
      <c r="L564" s="16"/>
      <c r="M564" s="16"/>
      <c r="N564" s="16"/>
      <c r="O564" s="16" t="str">
        <f>IF(ISNA(VLOOKUP(C564,'Auction Summary'!$P$3:$R$600,2,FALSE)),"",VLOOKUP(C564,'Auction Summary'!$P$3:$R$600,2,FALSE))</f>
        <v/>
      </c>
      <c r="P564" s="16"/>
      <c r="Q564" s="95" t="e">
        <f>VLOOKUP(C564,'Member Details (HOF Only)'!$A$2:$U$219,4,FALSE)</f>
        <v>#N/A</v>
      </c>
      <c r="R564" s="13"/>
      <c r="S564" s="95" t="e">
        <f>VLOOKUP(C564,'Member Details (HOF Only)'!$A$2:$U$219,7,FALSE)</f>
        <v>#N/A</v>
      </c>
      <c r="T564" s="11">
        <f t="shared" si="8"/>
        <v>0</v>
      </c>
    </row>
    <row r="565" spans="1:20" x14ac:dyDescent="0.2">
      <c r="A565" s="18"/>
      <c r="B565" s="85"/>
      <c r="C565" s="19"/>
      <c r="D565" s="31"/>
      <c r="E565" s="24"/>
      <c r="F565" s="16"/>
      <c r="G565" s="16"/>
      <c r="H565" s="16"/>
      <c r="I565" s="16"/>
      <c r="J565" s="20"/>
      <c r="K565" s="16"/>
      <c r="L565" s="16"/>
      <c r="M565" s="16"/>
      <c r="N565" s="16"/>
      <c r="O565" s="16" t="str">
        <f>IF(ISNA(VLOOKUP(C565,'Auction Summary'!$P$3:$R$600,2,FALSE)),"",VLOOKUP(C565,'Auction Summary'!$P$3:$R$600,2,FALSE))</f>
        <v/>
      </c>
      <c r="P565" s="16"/>
      <c r="Q565" s="95" t="e">
        <f>VLOOKUP(C565,'Member Details (HOF Only)'!$A$2:$U$219,4,FALSE)</f>
        <v>#N/A</v>
      </c>
      <c r="R565" s="13"/>
      <c r="S565" s="95" t="e">
        <f>VLOOKUP(C565,'Member Details (HOF Only)'!$A$2:$U$219,7,FALSE)</f>
        <v>#N/A</v>
      </c>
      <c r="T565" s="11">
        <f t="shared" si="8"/>
        <v>0</v>
      </c>
    </row>
    <row r="566" spans="1:20" x14ac:dyDescent="0.2">
      <c r="A566" s="18"/>
      <c r="B566" s="85"/>
      <c r="C566" s="19"/>
      <c r="D566" s="31"/>
      <c r="E566" s="24"/>
      <c r="F566" s="16"/>
      <c r="G566" s="16"/>
      <c r="H566" s="16"/>
      <c r="I566" s="16"/>
      <c r="J566" s="20"/>
      <c r="K566" s="16"/>
      <c r="L566" s="16"/>
      <c r="M566" s="16"/>
      <c r="N566" s="16"/>
      <c r="O566" s="16" t="str">
        <f>IF(ISNA(VLOOKUP(C566,'Auction Summary'!$P$3:$R$600,2,FALSE)),"",VLOOKUP(C566,'Auction Summary'!$P$3:$R$600,2,FALSE))</f>
        <v/>
      </c>
      <c r="P566" s="16"/>
      <c r="Q566" s="95" t="e">
        <f>VLOOKUP(C566,'Member Details (HOF Only)'!$A$2:$U$219,4,FALSE)</f>
        <v>#N/A</v>
      </c>
      <c r="R566" s="13"/>
      <c r="S566" s="95" t="e">
        <f>VLOOKUP(C566,'Member Details (HOF Only)'!$A$2:$U$219,7,FALSE)</f>
        <v>#N/A</v>
      </c>
      <c r="T566" s="11">
        <f t="shared" si="8"/>
        <v>0</v>
      </c>
    </row>
    <row r="567" spans="1:20" x14ac:dyDescent="0.2">
      <c r="A567" s="18"/>
      <c r="B567" s="85"/>
      <c r="C567" s="19"/>
      <c r="D567" s="31"/>
      <c r="E567" s="24"/>
      <c r="F567" s="16"/>
      <c r="G567" s="16"/>
      <c r="H567" s="16"/>
      <c r="I567" s="16"/>
      <c r="J567" s="20"/>
      <c r="K567" s="16"/>
      <c r="L567" s="16"/>
      <c r="M567" s="16"/>
      <c r="N567" s="16"/>
      <c r="O567" s="16" t="str">
        <f>IF(ISNA(VLOOKUP(C567,'Auction Summary'!$P$3:$R$600,2,FALSE)),"",VLOOKUP(C567,'Auction Summary'!$P$3:$R$600,2,FALSE))</f>
        <v/>
      </c>
      <c r="P567" s="16"/>
      <c r="Q567" s="95" t="e">
        <f>VLOOKUP(C567,'Member Details (HOF Only)'!$A$2:$U$219,4,FALSE)</f>
        <v>#N/A</v>
      </c>
      <c r="R567" s="13"/>
      <c r="S567" s="95" t="e">
        <f>VLOOKUP(C567,'Member Details (HOF Only)'!$A$2:$U$219,7,FALSE)</f>
        <v>#N/A</v>
      </c>
      <c r="T567" s="11">
        <f t="shared" si="8"/>
        <v>0</v>
      </c>
    </row>
    <row r="568" spans="1:20" x14ac:dyDescent="0.2">
      <c r="A568" s="18"/>
      <c r="B568" s="85"/>
      <c r="C568" s="19"/>
      <c r="D568" s="31"/>
      <c r="E568" s="24"/>
      <c r="F568" s="16"/>
      <c r="G568" s="16"/>
      <c r="H568" s="16"/>
      <c r="I568" s="16"/>
      <c r="J568" s="20"/>
      <c r="K568" s="24"/>
      <c r="L568" s="16"/>
      <c r="M568" s="16"/>
      <c r="N568" s="16"/>
      <c r="O568" s="16" t="str">
        <f>IF(ISNA(VLOOKUP(C568,'Auction Summary'!$P$3:$R$600,2,FALSE)),"",VLOOKUP(C568,'Auction Summary'!$P$3:$R$600,2,FALSE))</f>
        <v/>
      </c>
      <c r="P568" s="16"/>
      <c r="Q568" s="95" t="e">
        <f>VLOOKUP(C568,'Member Details (HOF Only)'!$A$2:$U$219,4,FALSE)</f>
        <v>#N/A</v>
      </c>
      <c r="R568" s="13"/>
      <c r="S568" s="95" t="e">
        <f>VLOOKUP(C568,'Member Details (HOF Only)'!$A$2:$U$219,7,FALSE)</f>
        <v>#N/A</v>
      </c>
      <c r="T568" s="11">
        <f t="shared" si="8"/>
        <v>0</v>
      </c>
    </row>
    <row r="569" spans="1:20" x14ac:dyDescent="0.2">
      <c r="A569" s="18"/>
      <c r="B569" s="85"/>
      <c r="C569" s="19"/>
      <c r="D569" s="31"/>
      <c r="E569" s="24"/>
      <c r="F569" s="16"/>
      <c r="G569" s="16"/>
      <c r="H569" s="16"/>
      <c r="I569" s="16"/>
      <c r="J569" s="20"/>
      <c r="K569" s="24"/>
      <c r="L569" s="16"/>
      <c r="M569" s="16"/>
      <c r="N569" s="16"/>
      <c r="O569" s="16" t="str">
        <f>IF(ISNA(VLOOKUP(C569,'Auction Summary'!$P$3:$R$600,2,FALSE)),"",VLOOKUP(C569,'Auction Summary'!$P$3:$R$600,2,FALSE))</f>
        <v/>
      </c>
      <c r="P569" s="16"/>
      <c r="Q569" s="95" t="e">
        <f>VLOOKUP(C569,'Member Details (HOF Only)'!$A$2:$U$219,4,FALSE)</f>
        <v>#N/A</v>
      </c>
      <c r="R569" s="13"/>
      <c r="S569" s="95" t="e">
        <f>VLOOKUP(C569,'Member Details (HOF Only)'!$A$2:$U$219,7,FALSE)</f>
        <v>#N/A</v>
      </c>
      <c r="T569" s="11">
        <f t="shared" si="8"/>
        <v>0</v>
      </c>
    </row>
    <row r="570" spans="1:20" x14ac:dyDescent="0.2">
      <c r="A570" s="18"/>
      <c r="B570" s="85"/>
      <c r="C570" s="19"/>
      <c r="D570" s="31"/>
      <c r="E570" s="24"/>
      <c r="F570" s="16"/>
      <c r="G570" s="16"/>
      <c r="H570" s="16"/>
      <c r="I570" s="16"/>
      <c r="J570" s="20"/>
      <c r="K570" s="24"/>
      <c r="L570" s="16"/>
      <c r="M570" s="16"/>
      <c r="N570" s="16"/>
      <c r="O570" s="16" t="str">
        <f>IF(ISNA(VLOOKUP(C570,'Auction Summary'!$P$3:$R$600,2,FALSE)),"",VLOOKUP(C570,'Auction Summary'!$P$3:$R$600,2,FALSE))</f>
        <v/>
      </c>
      <c r="P570" s="16"/>
      <c r="Q570" s="95" t="e">
        <f>VLOOKUP(C570,'Member Details (HOF Only)'!$A$2:$U$219,4,FALSE)</f>
        <v>#N/A</v>
      </c>
      <c r="R570" s="13"/>
      <c r="S570" s="95" t="e">
        <f>VLOOKUP(C570,'Member Details (HOF Only)'!$A$2:$U$219,7,FALSE)</f>
        <v>#N/A</v>
      </c>
      <c r="T570" s="11">
        <f t="shared" si="8"/>
        <v>0</v>
      </c>
    </row>
    <row r="571" spans="1:20" x14ac:dyDescent="0.2">
      <c r="A571" s="18"/>
      <c r="B571" s="85"/>
      <c r="C571" s="19"/>
      <c r="D571" s="31"/>
      <c r="E571" s="24"/>
      <c r="F571" s="16"/>
      <c r="G571" s="16"/>
      <c r="H571" s="16"/>
      <c r="I571" s="16"/>
      <c r="J571" s="20"/>
      <c r="K571" s="16"/>
      <c r="L571" s="16"/>
      <c r="M571" s="16"/>
      <c r="N571" s="16"/>
      <c r="O571" s="16" t="str">
        <f>IF(ISNA(VLOOKUP(C571,'Auction Summary'!$P$3:$R$600,2,FALSE)),"",VLOOKUP(C571,'Auction Summary'!$P$3:$R$600,2,FALSE))</f>
        <v/>
      </c>
      <c r="P571" s="16"/>
      <c r="Q571" s="95" t="e">
        <f>VLOOKUP(C571,'Member Details (HOF Only)'!$A$2:$U$219,4,FALSE)</f>
        <v>#N/A</v>
      </c>
      <c r="R571" s="13"/>
      <c r="S571" s="95" t="e">
        <f>VLOOKUP(C571,'Member Details (HOF Only)'!$A$2:$U$219,7,FALSE)</f>
        <v>#N/A</v>
      </c>
      <c r="T571" s="11">
        <f t="shared" si="8"/>
        <v>0</v>
      </c>
    </row>
    <row r="572" spans="1:20" x14ac:dyDescent="0.2">
      <c r="A572" s="18"/>
      <c r="B572" s="85"/>
      <c r="C572" s="19"/>
      <c r="D572" s="31"/>
      <c r="E572" s="24"/>
      <c r="F572" s="16"/>
      <c r="G572" s="16"/>
      <c r="H572" s="16"/>
      <c r="I572" s="16"/>
      <c r="J572" s="20"/>
      <c r="K572" s="16"/>
      <c r="L572" s="16"/>
      <c r="M572" s="16"/>
      <c r="N572" s="16"/>
      <c r="O572" s="16" t="str">
        <f>IF(ISNA(VLOOKUP(C572,'Auction Summary'!$P$3:$R$600,2,FALSE)),"",VLOOKUP(C572,'Auction Summary'!$P$3:$R$600,2,FALSE))</f>
        <v/>
      </c>
      <c r="P572" s="16"/>
      <c r="Q572" s="95" t="e">
        <f>VLOOKUP(C572,'Member Details (HOF Only)'!$A$2:$U$219,4,FALSE)</f>
        <v>#N/A</v>
      </c>
      <c r="R572" s="13"/>
      <c r="S572" s="95" t="e">
        <f>VLOOKUP(C572,'Member Details (HOF Only)'!$A$2:$U$219,7,FALSE)</f>
        <v>#N/A</v>
      </c>
      <c r="T572" s="11">
        <f t="shared" si="8"/>
        <v>0</v>
      </c>
    </row>
    <row r="573" spans="1:20" x14ac:dyDescent="0.2">
      <c r="A573" s="18"/>
      <c r="B573" s="85"/>
      <c r="C573" s="19"/>
      <c r="D573" s="31"/>
      <c r="E573" s="24"/>
      <c r="F573" s="16"/>
      <c r="G573" s="16"/>
      <c r="H573" s="16"/>
      <c r="I573" s="16"/>
      <c r="J573" s="20"/>
      <c r="K573" s="16"/>
      <c r="L573" s="16"/>
      <c r="M573" s="16"/>
      <c r="N573" s="16"/>
      <c r="O573" s="16" t="str">
        <f>IF(ISNA(VLOOKUP(C573,'Auction Summary'!$P$3:$R$600,2,FALSE)),"",VLOOKUP(C573,'Auction Summary'!$P$3:$R$600,2,FALSE))</f>
        <v/>
      </c>
      <c r="P573" s="16"/>
      <c r="Q573" s="95" t="e">
        <f>VLOOKUP(C573,'Member Details (HOF Only)'!$A$2:$U$219,4,FALSE)</f>
        <v>#N/A</v>
      </c>
      <c r="R573" s="13"/>
      <c r="S573" s="95" t="e">
        <f>VLOOKUP(C573,'Member Details (HOF Only)'!$A$2:$U$219,7,FALSE)</f>
        <v>#N/A</v>
      </c>
      <c r="T573" s="11">
        <f t="shared" si="8"/>
        <v>0</v>
      </c>
    </row>
    <row r="574" spans="1:20" x14ac:dyDescent="0.2">
      <c r="A574" s="18"/>
      <c r="B574" s="85"/>
      <c r="C574" s="19"/>
      <c r="D574" s="31"/>
      <c r="E574" s="24"/>
      <c r="F574" s="16"/>
      <c r="G574" s="16"/>
      <c r="H574" s="16"/>
      <c r="I574" s="16"/>
      <c r="J574" s="20"/>
      <c r="K574" s="24"/>
      <c r="L574" s="16"/>
      <c r="M574" s="16"/>
      <c r="N574" s="16"/>
      <c r="O574" s="16" t="str">
        <f>IF(ISNA(VLOOKUP(C574,'Auction Summary'!$P$3:$R$600,2,FALSE)),"",VLOOKUP(C574,'Auction Summary'!$P$3:$R$600,2,FALSE))</f>
        <v/>
      </c>
      <c r="P574" s="16"/>
      <c r="Q574" s="95" t="e">
        <f>VLOOKUP(C574,'Member Details (HOF Only)'!$A$2:$U$219,4,FALSE)</f>
        <v>#N/A</v>
      </c>
      <c r="R574" s="13"/>
      <c r="S574" s="95" t="e">
        <f>VLOOKUP(C574,'Member Details (HOF Only)'!$A$2:$U$219,7,FALSE)</f>
        <v>#N/A</v>
      </c>
      <c r="T574" s="11">
        <f t="shared" si="8"/>
        <v>0</v>
      </c>
    </row>
    <row r="575" spans="1:20" x14ac:dyDescent="0.2">
      <c r="A575" s="18"/>
      <c r="B575" s="85"/>
      <c r="C575" s="16"/>
      <c r="D575" s="31"/>
      <c r="E575" s="24"/>
      <c r="F575" s="16"/>
      <c r="G575" s="16"/>
      <c r="H575" s="16"/>
      <c r="I575" s="16"/>
      <c r="J575" s="20"/>
      <c r="K575" s="24"/>
      <c r="L575" s="16"/>
      <c r="M575" s="16"/>
      <c r="N575" s="16"/>
      <c r="O575" s="16" t="str">
        <f>IF(ISNA(VLOOKUP(C575,'Auction Summary'!$P$3:$R$600,2,FALSE)),"",VLOOKUP(C575,'Auction Summary'!$P$3:$R$600,2,FALSE))</f>
        <v/>
      </c>
      <c r="P575" s="16"/>
      <c r="Q575" s="95" t="e">
        <f>VLOOKUP(C575,'Member Details (HOF Only)'!$A$2:$U$219,4,FALSE)</f>
        <v>#N/A</v>
      </c>
      <c r="R575" s="11"/>
      <c r="S575" s="95" t="e">
        <f>VLOOKUP(C575,'Member Details (HOF Only)'!$A$2:$U$219,7,FALSE)</f>
        <v>#N/A</v>
      </c>
      <c r="T575" s="11">
        <f t="shared" si="8"/>
        <v>0</v>
      </c>
    </row>
    <row r="576" spans="1:20" x14ac:dyDescent="0.2">
      <c r="A576" s="18"/>
      <c r="B576" s="85"/>
      <c r="C576" s="16"/>
      <c r="D576" s="31"/>
      <c r="E576" s="24"/>
      <c r="F576" s="16"/>
      <c r="G576" s="16"/>
      <c r="H576" s="16"/>
      <c r="I576" s="16"/>
      <c r="J576" s="20"/>
      <c r="K576" s="24"/>
      <c r="L576" s="16"/>
      <c r="M576" s="16"/>
      <c r="N576" s="16"/>
      <c r="O576" s="16" t="str">
        <f>IF(ISNA(VLOOKUP(C576,'Auction Summary'!$P$3:$R$600,2,FALSE)),"",VLOOKUP(C576,'Auction Summary'!$P$3:$R$600,2,FALSE))</f>
        <v/>
      </c>
      <c r="P576" s="16"/>
      <c r="Q576" s="95" t="e">
        <f>VLOOKUP(C576,'Member Details (HOF Only)'!$A$2:$U$219,4,FALSE)</f>
        <v>#N/A</v>
      </c>
      <c r="R576" s="11"/>
      <c r="S576" s="95" t="e">
        <f>VLOOKUP(C576,'Member Details (HOF Only)'!$A$2:$U$219,7,FALSE)</f>
        <v>#N/A</v>
      </c>
      <c r="T576" s="11">
        <f t="shared" si="8"/>
        <v>0</v>
      </c>
    </row>
    <row r="577" spans="1:20" x14ac:dyDescent="0.2">
      <c r="A577" s="18"/>
      <c r="B577" s="85"/>
      <c r="C577" s="16"/>
      <c r="D577" s="31"/>
      <c r="E577" s="24"/>
      <c r="F577" s="16"/>
      <c r="G577" s="16"/>
      <c r="H577" s="16"/>
      <c r="I577" s="16"/>
      <c r="J577" s="20"/>
      <c r="K577" s="24"/>
      <c r="L577" s="16"/>
      <c r="M577" s="16"/>
      <c r="N577" s="16"/>
      <c r="O577" s="16" t="str">
        <f>IF(ISNA(VLOOKUP(C577,'Auction Summary'!$P$3:$R$600,2,FALSE)),"",VLOOKUP(C577,'Auction Summary'!$P$3:$R$600,2,FALSE))</f>
        <v/>
      </c>
      <c r="P577" s="16"/>
      <c r="Q577" s="95" t="e">
        <f>VLOOKUP(C577,'Member Details (HOF Only)'!$A$2:$U$219,4,FALSE)</f>
        <v>#N/A</v>
      </c>
      <c r="R577" s="11"/>
      <c r="S577" s="95" t="e">
        <f>VLOOKUP(C577,'Member Details (HOF Only)'!$A$2:$U$219,7,FALSE)</f>
        <v>#N/A</v>
      </c>
      <c r="T577" s="11">
        <f t="shared" ref="T577:T600" si="9">T576+D577</f>
        <v>0</v>
      </c>
    </row>
    <row r="578" spans="1:20" x14ac:dyDescent="0.2">
      <c r="A578" s="18"/>
      <c r="B578" s="85"/>
      <c r="C578" s="16"/>
      <c r="D578" s="31"/>
      <c r="E578" s="24"/>
      <c r="F578" s="16"/>
      <c r="G578" s="16"/>
      <c r="H578" s="16"/>
      <c r="I578" s="16"/>
      <c r="J578" s="20"/>
      <c r="K578" s="24"/>
      <c r="L578" s="16"/>
      <c r="M578" s="16"/>
      <c r="N578" s="16"/>
      <c r="O578" s="16" t="str">
        <f>IF(ISNA(VLOOKUP(C578,'Auction Summary'!$P$3:$R$600,2,FALSE)),"",VLOOKUP(C578,'Auction Summary'!$P$3:$R$600,2,FALSE))</f>
        <v/>
      </c>
      <c r="P578" s="16"/>
      <c r="Q578" s="95" t="e">
        <f>VLOOKUP(C578,'Member Details (HOF Only)'!$A$2:$U$219,4,FALSE)</f>
        <v>#N/A</v>
      </c>
      <c r="R578" s="11"/>
      <c r="S578" s="95" t="e">
        <f>VLOOKUP(C578,'Member Details (HOF Only)'!$A$2:$U$219,7,FALSE)</f>
        <v>#N/A</v>
      </c>
      <c r="T578" s="11">
        <f t="shared" si="9"/>
        <v>0</v>
      </c>
    </row>
    <row r="579" spans="1:20" x14ac:dyDescent="0.2">
      <c r="A579" s="18"/>
      <c r="B579" s="85"/>
      <c r="C579" s="16"/>
      <c r="D579" s="31"/>
      <c r="E579" s="24"/>
      <c r="F579" s="16"/>
      <c r="G579" s="16"/>
      <c r="H579" s="16"/>
      <c r="I579" s="16"/>
      <c r="J579" s="20"/>
      <c r="K579" s="24"/>
      <c r="L579" s="16"/>
      <c r="M579" s="16"/>
      <c r="N579" s="16"/>
      <c r="O579" s="16" t="str">
        <f>IF(ISNA(VLOOKUP(C579,'Auction Summary'!$P$3:$R$600,2,FALSE)),"",VLOOKUP(C579,'Auction Summary'!$P$3:$R$600,2,FALSE))</f>
        <v/>
      </c>
      <c r="P579" s="16"/>
      <c r="Q579" s="95" t="e">
        <f>VLOOKUP(C579,'Member Details (HOF Only)'!$A$2:$U$219,4,FALSE)</f>
        <v>#N/A</v>
      </c>
      <c r="R579" s="11"/>
      <c r="S579" s="95" t="e">
        <f>VLOOKUP(C579,'Member Details (HOF Only)'!$A$2:$U$219,7,FALSE)</f>
        <v>#N/A</v>
      </c>
      <c r="T579" s="11">
        <f t="shared" si="9"/>
        <v>0</v>
      </c>
    </row>
    <row r="580" spans="1:20" x14ac:dyDescent="0.2">
      <c r="A580" s="18"/>
      <c r="B580" s="85"/>
      <c r="C580" s="16"/>
      <c r="D580" s="31"/>
      <c r="E580" s="24"/>
      <c r="F580" s="16"/>
      <c r="G580" s="16"/>
      <c r="H580" s="16"/>
      <c r="I580" s="16"/>
      <c r="J580" s="20"/>
      <c r="K580" s="24"/>
      <c r="L580" s="16"/>
      <c r="M580" s="16"/>
      <c r="N580" s="16"/>
      <c r="O580" s="16" t="str">
        <f>IF(ISNA(VLOOKUP(C580,'Auction Summary'!$P$3:$R$600,2,FALSE)),"",VLOOKUP(C580,'Auction Summary'!$P$3:$R$600,2,FALSE))</f>
        <v/>
      </c>
      <c r="P580" s="16"/>
      <c r="Q580" s="95" t="e">
        <f>VLOOKUP(C580,'Member Details (HOF Only)'!$A$2:$U$219,4,FALSE)</f>
        <v>#N/A</v>
      </c>
      <c r="R580" s="11"/>
      <c r="S580" s="95" t="e">
        <f>VLOOKUP(C580,'Member Details (HOF Only)'!$A$2:$U$219,7,FALSE)</f>
        <v>#N/A</v>
      </c>
      <c r="T580" s="11">
        <f t="shared" si="9"/>
        <v>0</v>
      </c>
    </row>
    <row r="581" spans="1:20" x14ac:dyDescent="0.2">
      <c r="A581" s="18"/>
      <c r="B581" s="85"/>
      <c r="C581" s="16"/>
      <c r="D581" s="31"/>
      <c r="E581" s="24"/>
      <c r="F581" s="16"/>
      <c r="G581" s="16"/>
      <c r="H581" s="16"/>
      <c r="I581" s="16"/>
      <c r="J581" s="20"/>
      <c r="K581" s="24"/>
      <c r="L581" s="16"/>
      <c r="M581" s="16"/>
      <c r="N581" s="16"/>
      <c r="O581" s="16" t="str">
        <f>IF(ISNA(VLOOKUP(C581,'Auction Summary'!$P$3:$R$600,2,FALSE)),"",VLOOKUP(C581,'Auction Summary'!$P$3:$R$600,2,FALSE))</f>
        <v/>
      </c>
      <c r="P581" s="16"/>
      <c r="Q581" s="95" t="e">
        <f>VLOOKUP(C581,'Member Details (HOF Only)'!$A$2:$U$219,4,FALSE)</f>
        <v>#N/A</v>
      </c>
      <c r="R581" s="11"/>
      <c r="S581" s="95" t="e">
        <f>VLOOKUP(C581,'Member Details (HOF Only)'!$A$2:$U$219,7,FALSE)</f>
        <v>#N/A</v>
      </c>
      <c r="T581" s="11">
        <f t="shared" si="9"/>
        <v>0</v>
      </c>
    </row>
    <row r="582" spans="1:20" x14ac:dyDescent="0.2">
      <c r="A582" s="18"/>
      <c r="B582" s="85"/>
      <c r="C582" s="16"/>
      <c r="D582" s="31"/>
      <c r="E582" s="24"/>
      <c r="F582" s="16"/>
      <c r="G582" s="16"/>
      <c r="H582" s="16"/>
      <c r="I582" s="16"/>
      <c r="J582" s="20"/>
      <c r="K582" s="24"/>
      <c r="L582" s="16"/>
      <c r="M582" s="16"/>
      <c r="N582" s="16"/>
      <c r="O582" s="16" t="str">
        <f>IF(ISNA(VLOOKUP(C582,'Auction Summary'!$P$3:$R$600,2,FALSE)),"",VLOOKUP(C582,'Auction Summary'!$P$3:$R$600,2,FALSE))</f>
        <v/>
      </c>
      <c r="P582" s="16"/>
      <c r="Q582" s="95" t="e">
        <f>VLOOKUP(C582,'Member Details (HOF Only)'!$A$2:$U$219,4,FALSE)</f>
        <v>#N/A</v>
      </c>
      <c r="R582" s="11"/>
      <c r="S582" s="95" t="e">
        <f>VLOOKUP(C582,'Member Details (HOF Only)'!$A$2:$U$219,7,FALSE)</f>
        <v>#N/A</v>
      </c>
      <c r="T582" s="11">
        <f t="shared" si="9"/>
        <v>0</v>
      </c>
    </row>
    <row r="583" spans="1:20" x14ac:dyDescent="0.2">
      <c r="A583" s="18"/>
      <c r="B583" s="85"/>
      <c r="C583" s="16"/>
      <c r="D583" s="31"/>
      <c r="E583" s="24"/>
      <c r="F583" s="16"/>
      <c r="G583" s="16"/>
      <c r="H583" s="16"/>
      <c r="I583" s="16"/>
      <c r="J583" s="20"/>
      <c r="K583" s="24"/>
      <c r="L583" s="16"/>
      <c r="M583" s="16"/>
      <c r="N583" s="16"/>
      <c r="O583" s="16" t="str">
        <f>IF(ISNA(VLOOKUP(C583,'Auction Summary'!$P$3:$R$600,2,FALSE)),"",VLOOKUP(C583,'Auction Summary'!$P$3:$R$600,2,FALSE))</f>
        <v/>
      </c>
      <c r="P583" s="16"/>
      <c r="Q583" s="95" t="e">
        <f>VLOOKUP(C583,'Member Details (HOF Only)'!$A$2:$U$219,4,FALSE)</f>
        <v>#N/A</v>
      </c>
      <c r="R583" s="11"/>
      <c r="S583" s="95" t="e">
        <f>VLOOKUP(C583,'Member Details (HOF Only)'!$A$2:$U$219,7,FALSE)</f>
        <v>#N/A</v>
      </c>
      <c r="T583" s="11">
        <f t="shared" si="9"/>
        <v>0</v>
      </c>
    </row>
    <row r="584" spans="1:20" x14ac:dyDescent="0.2">
      <c r="A584" s="18"/>
      <c r="B584" s="85"/>
      <c r="C584" s="16"/>
      <c r="D584" s="31"/>
      <c r="E584" s="24"/>
      <c r="F584" s="16"/>
      <c r="G584" s="16"/>
      <c r="H584" s="16"/>
      <c r="I584" s="16"/>
      <c r="J584" s="20"/>
      <c r="K584" s="24"/>
      <c r="L584" s="16"/>
      <c r="M584" s="16"/>
      <c r="N584" s="16"/>
      <c r="O584" s="16" t="str">
        <f>IF(ISNA(VLOOKUP(C584,'Auction Summary'!$P$3:$R$600,2,FALSE)),"",VLOOKUP(C584,'Auction Summary'!$P$3:$R$600,2,FALSE))</f>
        <v/>
      </c>
      <c r="P584" s="16"/>
      <c r="Q584" s="95" t="e">
        <f>VLOOKUP(C584,'Member Details (HOF Only)'!$A$2:$U$219,4,FALSE)</f>
        <v>#N/A</v>
      </c>
      <c r="R584" s="11"/>
      <c r="S584" s="95" t="e">
        <f>VLOOKUP(C584,'Member Details (HOF Only)'!$A$2:$U$219,7,FALSE)</f>
        <v>#N/A</v>
      </c>
      <c r="T584" s="11">
        <f t="shared" si="9"/>
        <v>0</v>
      </c>
    </row>
    <row r="585" spans="1:20" x14ac:dyDescent="0.2">
      <c r="A585" s="18"/>
      <c r="B585" s="85"/>
      <c r="C585" s="16"/>
      <c r="D585" s="31"/>
      <c r="E585" s="24"/>
      <c r="F585" s="16"/>
      <c r="G585" s="16"/>
      <c r="H585" s="16"/>
      <c r="I585" s="16"/>
      <c r="J585" s="20"/>
      <c r="K585" s="24"/>
      <c r="L585" s="16"/>
      <c r="M585" s="16"/>
      <c r="N585" s="16"/>
      <c r="O585" s="16" t="str">
        <f>IF(ISNA(VLOOKUP(C585,'Auction Summary'!$P$3:$R$600,2,FALSE)),"",VLOOKUP(C585,'Auction Summary'!$P$3:$R$600,2,FALSE))</f>
        <v/>
      </c>
      <c r="P585" s="16"/>
      <c r="Q585" s="95" t="e">
        <f>VLOOKUP(C585,'Member Details (HOF Only)'!$A$2:$U$219,4,FALSE)</f>
        <v>#N/A</v>
      </c>
      <c r="R585" s="11"/>
      <c r="S585" s="95" t="e">
        <f>VLOOKUP(C585,'Member Details (HOF Only)'!$A$2:$U$219,7,FALSE)</f>
        <v>#N/A</v>
      </c>
      <c r="T585" s="11">
        <f t="shared" si="9"/>
        <v>0</v>
      </c>
    </row>
    <row r="586" spans="1:20" x14ac:dyDescent="0.2">
      <c r="A586" s="18"/>
      <c r="B586" s="85"/>
      <c r="C586" s="16"/>
      <c r="D586" s="31"/>
      <c r="E586" s="24"/>
      <c r="F586" s="16"/>
      <c r="G586" s="16"/>
      <c r="H586" s="16"/>
      <c r="I586" s="16"/>
      <c r="J586" s="20"/>
      <c r="K586" s="24"/>
      <c r="L586" s="16"/>
      <c r="M586" s="16"/>
      <c r="N586" s="16"/>
      <c r="O586" s="16" t="str">
        <f>IF(ISNA(VLOOKUP(C586,'Auction Summary'!$P$3:$R$600,2,FALSE)),"",VLOOKUP(C586,'Auction Summary'!$P$3:$R$600,2,FALSE))</f>
        <v/>
      </c>
      <c r="P586" s="16"/>
      <c r="Q586" s="95" t="e">
        <f>VLOOKUP(C586,'Member Details (HOF Only)'!$A$2:$U$219,4,FALSE)</f>
        <v>#N/A</v>
      </c>
      <c r="R586" s="11"/>
      <c r="S586" s="95" t="e">
        <f>VLOOKUP(C586,'Member Details (HOF Only)'!$A$2:$U$219,7,FALSE)</f>
        <v>#N/A</v>
      </c>
      <c r="T586" s="11">
        <f t="shared" si="9"/>
        <v>0</v>
      </c>
    </row>
    <row r="587" spans="1:20" x14ac:dyDescent="0.2">
      <c r="A587" s="18"/>
      <c r="B587" s="85"/>
      <c r="C587" s="16"/>
      <c r="D587" s="31"/>
      <c r="E587" s="24"/>
      <c r="F587" s="16"/>
      <c r="G587" s="16"/>
      <c r="H587" s="16"/>
      <c r="I587" s="16"/>
      <c r="J587" s="20"/>
      <c r="K587" s="24"/>
      <c r="L587" s="16"/>
      <c r="M587" s="16"/>
      <c r="N587" s="16"/>
      <c r="O587" s="16" t="str">
        <f>IF(ISNA(VLOOKUP(C587,'Auction Summary'!$P$3:$R$600,2,FALSE)),"",VLOOKUP(C587,'Auction Summary'!$P$3:$R$600,2,FALSE))</f>
        <v/>
      </c>
      <c r="P587" s="16"/>
      <c r="Q587" s="95" t="e">
        <f>VLOOKUP(C587,'Member Details (HOF Only)'!$A$2:$U$219,4,FALSE)</f>
        <v>#N/A</v>
      </c>
      <c r="R587" s="11"/>
      <c r="S587" s="95" t="e">
        <f>VLOOKUP(C587,'Member Details (HOF Only)'!$A$2:$U$219,7,FALSE)</f>
        <v>#N/A</v>
      </c>
      <c r="T587" s="11">
        <f t="shared" si="9"/>
        <v>0</v>
      </c>
    </row>
    <row r="588" spans="1:20" x14ac:dyDescent="0.2">
      <c r="A588" s="18"/>
      <c r="B588" s="85"/>
      <c r="C588" s="16"/>
      <c r="D588" s="31"/>
      <c r="E588" s="24"/>
      <c r="F588" s="16"/>
      <c r="G588" s="16"/>
      <c r="H588" s="16"/>
      <c r="I588" s="16"/>
      <c r="J588" s="20"/>
      <c r="K588" s="24"/>
      <c r="L588" s="16"/>
      <c r="M588" s="16"/>
      <c r="N588" s="16"/>
      <c r="O588" s="16" t="str">
        <f>IF(ISNA(VLOOKUP(C588,'Auction Summary'!$P$3:$R$600,2,FALSE)),"",VLOOKUP(C588,'Auction Summary'!$P$3:$R$600,2,FALSE))</f>
        <v/>
      </c>
      <c r="P588" s="16"/>
      <c r="Q588" s="95" t="e">
        <f>VLOOKUP(C588,'Member Details (HOF Only)'!$A$2:$U$219,4,FALSE)</f>
        <v>#N/A</v>
      </c>
      <c r="R588" s="11"/>
      <c r="S588" s="95" t="e">
        <f>VLOOKUP(C588,'Member Details (HOF Only)'!$A$2:$U$219,7,FALSE)</f>
        <v>#N/A</v>
      </c>
      <c r="T588" s="11">
        <f t="shared" si="9"/>
        <v>0</v>
      </c>
    </row>
    <row r="589" spans="1:20" x14ac:dyDescent="0.2">
      <c r="A589" s="18"/>
      <c r="B589" s="85"/>
      <c r="C589" s="16"/>
      <c r="D589" s="31"/>
      <c r="E589" s="24"/>
      <c r="F589" s="16"/>
      <c r="G589" s="16"/>
      <c r="H589" s="16"/>
      <c r="I589" s="16"/>
      <c r="J589" s="20"/>
      <c r="K589" s="24"/>
      <c r="L589" s="16"/>
      <c r="M589" s="16"/>
      <c r="N589" s="16"/>
      <c r="O589" s="16" t="str">
        <f>IF(ISNA(VLOOKUP(C589,'Auction Summary'!$P$3:$R$600,2,FALSE)),"",VLOOKUP(C589,'Auction Summary'!$P$3:$R$600,2,FALSE))</f>
        <v/>
      </c>
      <c r="P589" s="16"/>
      <c r="Q589" s="95" t="e">
        <f>VLOOKUP(C589,'Member Details (HOF Only)'!$A$2:$U$219,4,FALSE)</f>
        <v>#N/A</v>
      </c>
      <c r="R589" s="11"/>
      <c r="S589" s="95" t="e">
        <f>VLOOKUP(C589,'Member Details (HOF Only)'!$A$2:$U$219,7,FALSE)</f>
        <v>#N/A</v>
      </c>
      <c r="T589" s="11">
        <f t="shared" si="9"/>
        <v>0</v>
      </c>
    </row>
    <row r="590" spans="1:20" x14ac:dyDescent="0.2">
      <c r="A590" s="18"/>
      <c r="B590" s="85"/>
      <c r="C590" s="16"/>
      <c r="D590" s="31"/>
      <c r="E590" s="24"/>
      <c r="F590" s="16"/>
      <c r="G590" s="16"/>
      <c r="H590" s="16"/>
      <c r="I590" s="16"/>
      <c r="J590" s="20"/>
      <c r="K590" s="24"/>
      <c r="L590" s="16"/>
      <c r="M590" s="16"/>
      <c r="N590" s="16"/>
      <c r="O590" s="16" t="str">
        <f>IF(ISNA(VLOOKUP(C590,'Auction Summary'!$P$3:$R$600,2,FALSE)),"",VLOOKUP(C590,'Auction Summary'!$P$3:$R$600,2,FALSE))</f>
        <v/>
      </c>
      <c r="P590" s="16"/>
      <c r="Q590" s="95" t="e">
        <f>VLOOKUP(C590,'Member Details (HOF Only)'!$A$2:$U$219,4,FALSE)</f>
        <v>#N/A</v>
      </c>
      <c r="R590" s="11"/>
      <c r="S590" s="95" t="e">
        <f>VLOOKUP(C590,'Member Details (HOF Only)'!$A$2:$U$219,7,FALSE)</f>
        <v>#N/A</v>
      </c>
      <c r="T590" s="11">
        <f t="shared" si="9"/>
        <v>0</v>
      </c>
    </row>
    <row r="591" spans="1:20" x14ac:dyDescent="0.2">
      <c r="A591" s="18"/>
      <c r="B591" s="85"/>
      <c r="C591" s="16"/>
      <c r="D591" s="31"/>
      <c r="E591" s="24"/>
      <c r="F591" s="16"/>
      <c r="G591" s="16"/>
      <c r="H591" s="16"/>
      <c r="I591" s="16"/>
      <c r="J591" s="20"/>
      <c r="K591" s="24"/>
      <c r="L591" s="16"/>
      <c r="M591" s="16"/>
      <c r="N591" s="16"/>
      <c r="O591" s="16" t="str">
        <f>IF(ISNA(VLOOKUP(C591,'Auction Summary'!$P$3:$R$600,2,FALSE)),"",VLOOKUP(C591,'Auction Summary'!$P$3:$R$600,2,FALSE))</f>
        <v/>
      </c>
      <c r="P591" s="16"/>
      <c r="Q591" s="95" t="e">
        <f>VLOOKUP(C591,'Member Details (HOF Only)'!$A$2:$U$219,4,FALSE)</f>
        <v>#N/A</v>
      </c>
      <c r="R591" s="11"/>
      <c r="S591" s="95" t="e">
        <f>VLOOKUP(C591,'Member Details (HOF Only)'!$A$2:$U$219,7,FALSE)</f>
        <v>#N/A</v>
      </c>
      <c r="T591" s="11">
        <f t="shared" si="9"/>
        <v>0</v>
      </c>
    </row>
    <row r="592" spans="1:20" x14ac:dyDescent="0.2">
      <c r="A592" s="18"/>
      <c r="B592" s="85"/>
      <c r="C592" s="16"/>
      <c r="D592" s="31"/>
      <c r="E592" s="24"/>
      <c r="F592" s="16"/>
      <c r="G592" s="16"/>
      <c r="H592" s="16"/>
      <c r="I592" s="16"/>
      <c r="J592" s="20"/>
      <c r="K592" s="24"/>
      <c r="L592" s="16"/>
      <c r="M592" s="16"/>
      <c r="N592" s="16"/>
      <c r="O592" s="16" t="str">
        <f>IF(ISNA(VLOOKUP(C592,'Auction Summary'!$P$3:$R$600,2,FALSE)),"",VLOOKUP(C592,'Auction Summary'!$P$3:$R$600,2,FALSE))</f>
        <v/>
      </c>
      <c r="P592" s="16"/>
      <c r="Q592" s="95" t="e">
        <f>VLOOKUP(C592,'Member Details (HOF Only)'!$A$2:$U$219,4,FALSE)</f>
        <v>#N/A</v>
      </c>
      <c r="R592" s="11"/>
      <c r="S592" s="95" t="e">
        <f>VLOOKUP(C592,'Member Details (HOF Only)'!$A$2:$U$219,7,FALSE)</f>
        <v>#N/A</v>
      </c>
      <c r="T592" s="11">
        <f t="shared" si="9"/>
        <v>0</v>
      </c>
    </row>
    <row r="593" spans="1:20" x14ac:dyDescent="0.2">
      <c r="A593" s="18"/>
      <c r="B593" s="85"/>
      <c r="C593" s="16"/>
      <c r="D593" s="31"/>
      <c r="E593" s="24"/>
      <c r="F593" s="16"/>
      <c r="G593" s="16"/>
      <c r="H593" s="16"/>
      <c r="I593" s="16"/>
      <c r="J593" s="20"/>
      <c r="K593" s="24"/>
      <c r="L593" s="16"/>
      <c r="M593" s="16"/>
      <c r="N593" s="16"/>
      <c r="O593" s="16" t="str">
        <f>IF(ISNA(VLOOKUP(C593,'Auction Summary'!$P$3:$R$600,2,FALSE)),"",VLOOKUP(C593,'Auction Summary'!$P$3:$R$600,2,FALSE))</f>
        <v/>
      </c>
      <c r="P593" s="16"/>
      <c r="Q593" s="95" t="e">
        <f>VLOOKUP(C593,'Member Details (HOF Only)'!$A$2:$U$219,4,FALSE)</f>
        <v>#N/A</v>
      </c>
      <c r="R593" s="11"/>
      <c r="S593" s="95" t="e">
        <f>VLOOKUP(C593,'Member Details (HOF Only)'!$A$2:$U$219,7,FALSE)</f>
        <v>#N/A</v>
      </c>
      <c r="T593" s="11">
        <f t="shared" si="9"/>
        <v>0</v>
      </c>
    </row>
    <row r="594" spans="1:20" x14ac:dyDescent="0.2">
      <c r="A594" s="18"/>
      <c r="B594" s="85"/>
      <c r="C594" s="16"/>
      <c r="D594" s="31"/>
      <c r="E594" s="24"/>
      <c r="F594" s="16"/>
      <c r="G594" s="16"/>
      <c r="H594" s="16"/>
      <c r="I594" s="16"/>
      <c r="J594" s="20"/>
      <c r="K594" s="24"/>
      <c r="L594" s="16"/>
      <c r="M594" s="16"/>
      <c r="N594" s="16"/>
      <c r="O594" s="16" t="str">
        <f>IF(ISNA(VLOOKUP(C594,'Auction Summary'!$P$3:$R$600,2,FALSE)),"",VLOOKUP(C594,'Auction Summary'!$P$3:$R$600,2,FALSE))</f>
        <v/>
      </c>
      <c r="P594" s="16"/>
      <c r="Q594" s="95" t="e">
        <f>VLOOKUP(C594,'Member Details (HOF Only)'!$A$2:$U$219,4,FALSE)</f>
        <v>#N/A</v>
      </c>
      <c r="R594" s="11"/>
      <c r="S594" s="95" t="e">
        <f>VLOOKUP(C594,'Member Details (HOF Only)'!$A$2:$U$219,7,FALSE)</f>
        <v>#N/A</v>
      </c>
      <c r="T594" s="11">
        <f t="shared" si="9"/>
        <v>0</v>
      </c>
    </row>
    <row r="595" spans="1:20" x14ac:dyDescent="0.2">
      <c r="A595" s="18"/>
      <c r="B595" s="85"/>
      <c r="C595" s="16"/>
      <c r="D595" s="31"/>
      <c r="E595" s="24"/>
      <c r="F595" s="16"/>
      <c r="G595" s="16"/>
      <c r="H595" s="16"/>
      <c r="I595" s="16"/>
      <c r="J595" s="20"/>
      <c r="K595" s="24"/>
      <c r="L595" s="16"/>
      <c r="M595" s="16"/>
      <c r="N595" s="16"/>
      <c r="O595" s="16" t="str">
        <f>IF(ISNA(VLOOKUP(C595,'Auction Summary'!$P$3:$R$600,2,FALSE)),"",VLOOKUP(C595,'Auction Summary'!$P$3:$R$600,2,FALSE))</f>
        <v/>
      </c>
      <c r="P595" s="16"/>
      <c r="Q595" s="95" t="e">
        <f>VLOOKUP(C595,'Member Details (HOF Only)'!$A$2:$U$219,4,FALSE)</f>
        <v>#N/A</v>
      </c>
      <c r="R595" s="11"/>
      <c r="S595" s="95" t="e">
        <f>VLOOKUP(C595,'Member Details (HOF Only)'!$A$2:$U$219,7,FALSE)</f>
        <v>#N/A</v>
      </c>
      <c r="T595" s="11">
        <f t="shared" si="9"/>
        <v>0</v>
      </c>
    </row>
    <row r="596" spans="1:20" x14ac:dyDescent="0.2">
      <c r="A596" s="16"/>
      <c r="B596" s="96" t="e">
        <f>VLOOKUP(C596,'Member Details (HOF Only)'!$A$2:$U$219,5,FALSE)</f>
        <v>#N/A</v>
      </c>
      <c r="C596" s="16"/>
      <c r="D596" s="31"/>
      <c r="E596" s="24"/>
      <c r="F596" s="16"/>
      <c r="G596" s="16"/>
      <c r="H596" s="16"/>
      <c r="I596" s="16"/>
      <c r="J596" s="20"/>
      <c r="K596" s="24"/>
      <c r="L596" s="16"/>
      <c r="M596" s="16"/>
      <c r="N596" s="16"/>
      <c r="O596" s="16" t="str">
        <f>IF(ISNA(VLOOKUP(C596,'Auction Summary'!$P$3:$R$600,2,FALSE)),"",VLOOKUP(C596,'Auction Summary'!$P$3:$R$600,2,FALSE))</f>
        <v/>
      </c>
      <c r="P596" s="16"/>
      <c r="Q596" s="95" t="e">
        <f>VLOOKUP(C596,'Member Details (HOF Only)'!$A$2:$U$219,4,FALSE)</f>
        <v>#N/A</v>
      </c>
      <c r="R596" s="11"/>
      <c r="S596" s="95" t="e">
        <f>VLOOKUP(C596,'Member Details (HOF Only)'!$A$2:$U$219,7,FALSE)</f>
        <v>#N/A</v>
      </c>
      <c r="T596" s="11">
        <f t="shared" si="9"/>
        <v>0</v>
      </c>
    </row>
    <row r="597" spans="1:20" x14ac:dyDescent="0.2">
      <c r="A597" s="16"/>
      <c r="B597" s="96" t="e">
        <f>VLOOKUP(C597,'Member Details (HOF Only)'!$A$2:$U$219,5,FALSE)</f>
        <v>#N/A</v>
      </c>
      <c r="C597" s="16"/>
      <c r="D597" s="31"/>
      <c r="E597" s="24"/>
      <c r="F597" s="16"/>
      <c r="G597" s="16"/>
      <c r="H597" s="16"/>
      <c r="I597" s="16"/>
      <c r="J597" s="20"/>
      <c r="K597" s="24"/>
      <c r="L597" s="16"/>
      <c r="M597" s="16"/>
      <c r="N597" s="16"/>
      <c r="O597" s="16" t="str">
        <f>IF(ISNA(VLOOKUP(C597,'Auction Summary'!$P$3:$R$600,2,FALSE)),"",VLOOKUP(C597,'Auction Summary'!$P$3:$R$600,2,FALSE))</f>
        <v/>
      </c>
      <c r="P597" s="16"/>
      <c r="Q597" s="95" t="e">
        <f>VLOOKUP(C597,'Member Details (HOF Only)'!$A$2:$U$219,4,FALSE)</f>
        <v>#N/A</v>
      </c>
      <c r="R597" s="11"/>
      <c r="S597" s="95" t="e">
        <f>VLOOKUP(C597,'Member Details (HOF Only)'!$A$2:$U$219,7,FALSE)</f>
        <v>#N/A</v>
      </c>
      <c r="T597" s="11">
        <f t="shared" si="9"/>
        <v>0</v>
      </c>
    </row>
    <row r="598" spans="1:20" x14ac:dyDescent="0.2">
      <c r="A598" s="16"/>
      <c r="B598" s="96" t="e">
        <f>VLOOKUP(C598,'Member Details (HOF Only)'!$A$2:$U$219,5,FALSE)</f>
        <v>#N/A</v>
      </c>
      <c r="C598" s="16"/>
      <c r="D598" s="31"/>
      <c r="E598" s="24"/>
      <c r="F598" s="16"/>
      <c r="G598" s="16"/>
      <c r="H598" s="16"/>
      <c r="I598" s="16"/>
      <c r="J598" s="20"/>
      <c r="K598" s="24"/>
      <c r="L598" s="16"/>
      <c r="M598" s="16"/>
      <c r="N598" s="16"/>
      <c r="O598" s="16" t="str">
        <f>IF(ISNA(VLOOKUP(C598,'Auction Summary'!$P$3:$R$600,2,FALSE)),"",VLOOKUP(C598,'Auction Summary'!$P$3:$R$600,2,FALSE))</f>
        <v/>
      </c>
      <c r="P598" s="16"/>
      <c r="Q598" s="95" t="e">
        <f>VLOOKUP(C598,'Member Details (HOF Only)'!$A$2:$U$219,4,FALSE)</f>
        <v>#N/A</v>
      </c>
      <c r="R598" s="11"/>
      <c r="S598" s="95" t="e">
        <f>VLOOKUP(C598,'Member Details (HOF Only)'!$A$2:$U$219,7,FALSE)</f>
        <v>#N/A</v>
      </c>
      <c r="T598" s="11">
        <f t="shared" si="9"/>
        <v>0</v>
      </c>
    </row>
    <row r="599" spans="1:20" x14ac:dyDescent="0.2">
      <c r="A599" s="16"/>
      <c r="B599" s="96" t="e">
        <f>VLOOKUP(C599,'Member Details (HOF Only)'!$A$2:$U$219,5,FALSE)</f>
        <v>#N/A</v>
      </c>
      <c r="C599" s="16"/>
      <c r="D599" s="31"/>
      <c r="E599" s="24"/>
      <c r="F599" s="16"/>
      <c r="G599" s="16"/>
      <c r="H599" s="16"/>
      <c r="I599" s="16"/>
      <c r="J599" s="20"/>
      <c r="K599" s="24"/>
      <c r="L599" s="16"/>
      <c r="M599" s="16"/>
      <c r="N599" s="16"/>
      <c r="O599" s="16" t="str">
        <f>IF(ISNA(VLOOKUP(C599,'Auction Summary'!$P$3:$R$600,2,FALSE)),"",VLOOKUP(C599,'Auction Summary'!$P$3:$R$600,2,FALSE))</f>
        <v/>
      </c>
      <c r="P599" s="16"/>
      <c r="Q599" s="95" t="e">
        <f>VLOOKUP(C599,'Member Details (HOF Only)'!$A$2:$U$219,4,FALSE)</f>
        <v>#N/A</v>
      </c>
      <c r="R599" s="11"/>
      <c r="S599" s="95" t="e">
        <f>VLOOKUP(C599,'Member Details (HOF Only)'!$A$2:$U$219,7,FALSE)</f>
        <v>#N/A</v>
      </c>
      <c r="T599" s="11">
        <f t="shared" si="9"/>
        <v>0</v>
      </c>
    </row>
    <row r="600" spans="1:20" x14ac:dyDescent="0.2">
      <c r="A600" s="16"/>
      <c r="B600" s="96" t="e">
        <f>VLOOKUP(C600,'Member Details (HOF Only)'!$A$2:$U$219,5,FALSE)</f>
        <v>#N/A</v>
      </c>
      <c r="C600" s="16"/>
      <c r="D600" s="31"/>
      <c r="E600" s="24"/>
      <c r="F600" s="16"/>
      <c r="G600" s="16"/>
      <c r="H600" s="16"/>
      <c r="I600" s="16"/>
      <c r="J600" s="20"/>
      <c r="K600" s="24"/>
      <c r="L600" s="16"/>
      <c r="M600" s="16"/>
      <c r="N600" s="16"/>
      <c r="O600" s="16" t="str">
        <f>IF(ISNA(VLOOKUP(C600,'Auction Summary'!$P$3:$R$600,2,FALSE)),"",VLOOKUP(C600,'Auction Summary'!$P$3:$R$600,2,FALSE))</f>
        <v/>
      </c>
      <c r="P600" s="16"/>
      <c r="Q600" s="95" t="e">
        <f>VLOOKUP(C600,'Member Details (HOF Only)'!$A$2:$U$219,4,FALSE)</f>
        <v>#N/A</v>
      </c>
      <c r="R600" s="11"/>
      <c r="S600" s="95" t="e">
        <f>VLOOKUP(C600,'Member Details (HOF Only)'!$A$2:$U$219,7,FALSE)</f>
        <v>#N/A</v>
      </c>
      <c r="T600" s="11">
        <f t="shared" si="9"/>
        <v>0</v>
      </c>
    </row>
    <row r="601" spans="1:20" x14ac:dyDescent="0.2">
      <c r="A601" s="87"/>
      <c r="B601" s="88"/>
      <c r="C601" s="87"/>
      <c r="D601" s="89"/>
      <c r="E601" s="90"/>
      <c r="F601" s="87"/>
      <c r="G601" s="87"/>
      <c r="H601" s="87"/>
      <c r="I601" s="87"/>
      <c r="J601" s="91"/>
      <c r="K601" s="87"/>
      <c r="L601" s="87"/>
      <c r="M601" s="87"/>
      <c r="N601" s="87"/>
      <c r="O601" s="87"/>
      <c r="P601" s="87"/>
    </row>
  </sheetData>
  <autoFilter ref="A1:T600"/>
  <conditionalFormatting sqref="N1:P1048576">
    <cfRule type="cellIs" dxfId="8" priority="63" operator="equal">
      <formula>"Entered"</formula>
    </cfRule>
  </conditionalFormatting>
  <conditionalFormatting sqref="B1:B1048576">
    <cfRule type="expression" dxfId="7" priority="52">
      <formula>ISNA(B1)</formula>
    </cfRule>
  </conditionalFormatting>
  <conditionalFormatting sqref="F1:F46 F61:F65536">
    <cfRule type="duplicateValues" dxfId="6" priority="78"/>
  </conditionalFormatting>
  <conditionalFormatting sqref="F47:F60">
    <cfRule type="duplicateValues" dxfId="5" priority="18"/>
  </conditionalFormatting>
  <conditionalFormatting sqref="T236:T65536">
    <cfRule type="expression" dxfId="4" priority="14">
      <formula>T236-T235=0</formula>
    </cfRule>
  </conditionalFormatting>
  <conditionalFormatting sqref="T1:T235">
    <cfRule type="expression" dxfId="3" priority="95">
      <formula>T1-#REF!=0</formula>
    </cfRule>
  </conditionalFormatting>
  <conditionalFormatting sqref="H1:H1048576">
    <cfRule type="cellIs" dxfId="2" priority="1" operator="equal">
      <formula>"Kind"</formula>
    </cfRule>
    <cfRule type="containsText" dxfId="1" priority="3" operator="containsText" text="Cash">
      <formula>NOT(ISERROR(SEARCH("Cash",H1)))</formula>
    </cfRule>
    <cfRule type="containsText" dxfId="0" priority="4" operator="containsText" text="Cheque">
      <formula>NOT(ISERROR(SEARCH("Cheque",H1)))</formula>
    </cfRule>
  </conditionalFormatting>
  <dataValidations count="2">
    <dataValidation type="list" showInputMessage="1" showErrorMessage="1" errorTitle="Invalid Value" error="Only &quot;Cash&quot;, &quot;Cheque&quot;, &quot;EFT&quot;, or &quot;Kind&quot; allowed" sqref="H1:H1048576">
      <formula1>"Cash, Cheque, EFT, Kind"</formula1>
    </dataValidation>
    <dataValidation type="date" errorStyle="warning" allowBlank="1" showInputMessage="1" showErrorMessage="1" error="Date should be within the current Financial Year!" sqref="E1:E1048576">
      <formula1>42461</formula1>
      <formula2>42825</formula2>
    </dataValidation>
  </dataValidations>
  <printOptions gridLines="1"/>
  <pageMargins left="0.23622047244094491" right="0.23622047244094491" top="0.55118110236220474" bottom="0.55118110236220474" header="0.11811023622047245" footer="0.11811023622047245"/>
  <pageSetup paperSize="9" scale="96" fitToWidth="0" orientation="landscape" r:id="rId1"/>
  <rowBreaks count="6" manualBreakCount="6">
    <brk id="1" max="10" man="1"/>
    <brk id="66" max="10" man="1"/>
    <brk id="88" max="10" man="1"/>
    <brk id="115" max="10" man="1"/>
    <brk id="167" max="10" man="1"/>
    <brk id="174"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ExportToQIF">
                <anchor>
                  <from>
                    <xdr:col>16</xdr:col>
                    <xdr:colOff>419100</xdr:colOff>
                    <xdr:row>1</xdr:row>
                    <xdr:rowOff>66675</xdr:rowOff>
                  </from>
                  <to>
                    <xdr:col>17</xdr:col>
                    <xdr:colOff>1790700</xdr:colOff>
                    <xdr:row>4</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W1843"/>
  <sheetViews>
    <sheetView zoomScale="90" zoomScaleNormal="90" workbookViewId="0">
      <pane ySplit="1" topLeftCell="A2" activePane="bottomLeft" state="frozen"/>
      <selection pane="bottomLeft" activeCell="D7" sqref="D7"/>
    </sheetView>
  </sheetViews>
  <sheetFormatPr defaultRowHeight="15" x14ac:dyDescent="0.25"/>
  <cols>
    <col min="1" max="1" width="37.28515625" style="65" customWidth="1"/>
    <col min="2" max="2" width="11" style="52" customWidth="1"/>
    <col min="3" max="3" width="9.5703125" style="52" customWidth="1"/>
    <col min="4" max="5" width="10.5703125" style="52" customWidth="1"/>
    <col min="6" max="6" width="10.7109375" style="52" customWidth="1"/>
    <col min="7" max="7" width="20.85546875" style="52" bestFit="1" customWidth="1"/>
    <col min="8" max="8" width="17.140625" style="52" customWidth="1"/>
    <col min="9" max="9" width="12.42578125" style="66" bestFit="1" customWidth="1"/>
    <col min="10" max="10" width="11.7109375" style="66" bestFit="1" customWidth="1"/>
    <col min="11" max="11" width="13.85546875" style="52" customWidth="1"/>
    <col min="12" max="12" width="12.7109375" style="56" customWidth="1"/>
    <col min="13" max="13" width="15.42578125" style="57" customWidth="1"/>
    <col min="14" max="14" width="9.140625" style="52"/>
    <col min="15" max="15" width="46.140625" style="52" customWidth="1"/>
    <col min="16" max="16384" width="9.140625" style="52"/>
  </cols>
  <sheetData>
    <row r="1" spans="1:23" x14ac:dyDescent="0.25">
      <c r="A1" s="17" t="s">
        <v>118</v>
      </c>
      <c r="B1" s="17" t="s">
        <v>150</v>
      </c>
      <c r="C1" s="17" t="s">
        <v>149</v>
      </c>
      <c r="D1" s="48" t="s">
        <v>1759</v>
      </c>
      <c r="E1" s="48" t="s">
        <v>151</v>
      </c>
      <c r="F1" s="48" t="s">
        <v>152</v>
      </c>
      <c r="G1" s="48" t="s">
        <v>153</v>
      </c>
      <c r="H1" s="76" t="s">
        <v>63</v>
      </c>
      <c r="I1" s="76" t="s">
        <v>64</v>
      </c>
      <c r="J1" s="48" t="s">
        <v>65</v>
      </c>
      <c r="K1" s="48" t="s">
        <v>66</v>
      </c>
      <c r="L1" s="48" t="s">
        <v>67</v>
      </c>
      <c r="M1" s="48" t="s">
        <v>68</v>
      </c>
      <c r="N1" s="48" t="s">
        <v>69</v>
      </c>
      <c r="O1" s="49" t="s">
        <v>76</v>
      </c>
      <c r="P1" s="49" t="s">
        <v>70</v>
      </c>
      <c r="Q1" s="50" t="s">
        <v>71</v>
      </c>
      <c r="R1" s="50" t="s">
        <v>72</v>
      </c>
      <c r="S1" s="47" t="s">
        <v>77</v>
      </c>
      <c r="T1" s="51" t="s">
        <v>78</v>
      </c>
      <c r="U1" s="47" t="s">
        <v>79</v>
      </c>
    </row>
    <row r="2" spans="1:23" x14ac:dyDescent="0.25">
      <c r="A2" s="59" t="s">
        <v>154</v>
      </c>
      <c r="B2" s="53" t="s">
        <v>155</v>
      </c>
      <c r="C2" s="53" t="s">
        <v>156</v>
      </c>
      <c r="D2" s="59" t="s">
        <v>157</v>
      </c>
      <c r="E2" s="59" t="s">
        <v>158</v>
      </c>
      <c r="F2" s="59" t="s">
        <v>159</v>
      </c>
      <c r="G2" s="59">
        <v>95193</v>
      </c>
      <c r="H2" s="77" t="s">
        <v>160</v>
      </c>
      <c r="I2" s="77" t="s">
        <v>161</v>
      </c>
      <c r="J2" s="59" t="s">
        <v>162</v>
      </c>
      <c r="K2" s="59"/>
      <c r="L2" s="59"/>
      <c r="M2" s="59"/>
      <c r="N2" s="59"/>
      <c r="O2" s="54"/>
      <c r="P2" s="54"/>
      <c r="Q2" s="55"/>
      <c r="R2" s="55"/>
      <c r="T2" s="56"/>
      <c r="U2" s="57"/>
    </row>
    <row r="3" spans="1:23" x14ac:dyDescent="0.25">
      <c r="A3" s="59" t="s">
        <v>163</v>
      </c>
      <c r="B3" s="53" t="s">
        <v>155</v>
      </c>
      <c r="C3" s="53" t="s">
        <v>164</v>
      </c>
      <c r="D3" s="59" t="s">
        <v>165</v>
      </c>
      <c r="E3" s="59" t="s">
        <v>166</v>
      </c>
      <c r="F3" s="59"/>
      <c r="G3" s="59"/>
      <c r="H3" s="77" t="s">
        <v>167</v>
      </c>
      <c r="I3" s="77" t="s">
        <v>168</v>
      </c>
      <c r="J3" s="59" t="s">
        <v>169</v>
      </c>
      <c r="K3" s="59"/>
      <c r="L3" s="59"/>
      <c r="M3" s="59"/>
      <c r="N3" s="59"/>
      <c r="O3" s="54"/>
      <c r="P3" s="54"/>
      <c r="Q3" s="55"/>
      <c r="R3" s="55"/>
      <c r="T3" s="56"/>
      <c r="U3" s="57"/>
      <c r="W3" s="52" t="s">
        <v>1758</v>
      </c>
    </row>
    <row r="4" spans="1:23" x14ac:dyDescent="0.25">
      <c r="A4" s="61" t="s">
        <v>170</v>
      </c>
      <c r="B4" s="60" t="s">
        <v>155</v>
      </c>
      <c r="C4" s="60" t="s">
        <v>171</v>
      </c>
      <c r="D4" s="61" t="s">
        <v>172</v>
      </c>
      <c r="E4" s="61" t="s">
        <v>173</v>
      </c>
      <c r="F4" s="61"/>
      <c r="G4" s="61"/>
      <c r="H4" s="78" t="s">
        <v>174</v>
      </c>
      <c r="I4" s="78" t="s">
        <v>175</v>
      </c>
      <c r="J4" s="61" t="s">
        <v>176</v>
      </c>
      <c r="K4" s="61"/>
      <c r="L4" s="61"/>
      <c r="M4" s="61"/>
      <c r="N4" s="61"/>
      <c r="O4" s="54"/>
      <c r="P4" s="54"/>
      <c r="Q4" s="55"/>
      <c r="R4" s="55"/>
      <c r="T4" s="56"/>
      <c r="U4" s="57"/>
    </row>
    <row r="5" spans="1:23" x14ac:dyDescent="0.25">
      <c r="A5" s="53" t="s">
        <v>177</v>
      </c>
      <c r="B5" s="53" t="s">
        <v>178</v>
      </c>
      <c r="C5" s="53" t="s">
        <v>179</v>
      </c>
      <c r="D5" s="53" t="s">
        <v>180</v>
      </c>
      <c r="E5" s="53" t="s">
        <v>181</v>
      </c>
      <c r="F5" s="53"/>
      <c r="G5" s="53"/>
      <c r="H5" s="79" t="s">
        <v>182</v>
      </c>
      <c r="I5" s="79" t="s">
        <v>183</v>
      </c>
      <c r="J5" s="53" t="s">
        <v>184</v>
      </c>
      <c r="K5" s="53"/>
      <c r="L5" s="53"/>
      <c r="M5" s="53"/>
      <c r="N5" s="54"/>
      <c r="O5" s="54"/>
      <c r="P5" s="54"/>
      <c r="Q5" s="55"/>
      <c r="R5" s="55"/>
      <c r="T5" s="56"/>
      <c r="U5" s="57"/>
    </row>
    <row r="6" spans="1:23" x14ac:dyDescent="0.25">
      <c r="A6" s="54" t="s">
        <v>185</v>
      </c>
      <c r="B6" s="58" t="s">
        <v>186</v>
      </c>
      <c r="C6" s="58" t="s">
        <v>187</v>
      </c>
      <c r="D6" s="54" t="s">
        <v>188</v>
      </c>
      <c r="E6" s="54" t="s">
        <v>189</v>
      </c>
      <c r="F6" s="54" t="s">
        <v>190</v>
      </c>
      <c r="G6" s="54" t="s">
        <v>191</v>
      </c>
      <c r="H6" s="80" t="s">
        <v>192</v>
      </c>
      <c r="I6" s="80" t="s">
        <v>193</v>
      </c>
      <c r="J6" s="59" t="s">
        <v>194</v>
      </c>
      <c r="K6" s="59"/>
      <c r="L6" s="59"/>
      <c r="M6" s="59"/>
      <c r="N6" s="59"/>
      <c r="O6" s="54"/>
      <c r="P6" s="54"/>
      <c r="Q6" s="55"/>
      <c r="R6" s="55"/>
      <c r="T6" s="56"/>
      <c r="U6" s="57"/>
    </row>
    <row r="7" spans="1:23" x14ac:dyDescent="0.25">
      <c r="A7" s="59" t="s">
        <v>195</v>
      </c>
      <c r="B7" s="53" t="s">
        <v>196</v>
      </c>
      <c r="C7" s="53" t="s">
        <v>197</v>
      </c>
      <c r="D7" s="59" t="s">
        <v>198</v>
      </c>
      <c r="E7" s="59" t="s">
        <v>199</v>
      </c>
      <c r="F7" s="59"/>
      <c r="G7" s="59">
        <v>734007</v>
      </c>
      <c r="H7" s="77" t="s">
        <v>200</v>
      </c>
      <c r="I7" s="77" t="s">
        <v>201</v>
      </c>
      <c r="J7" s="59" t="s">
        <v>202</v>
      </c>
      <c r="K7" s="59"/>
      <c r="L7" s="59"/>
      <c r="M7" s="59"/>
      <c r="N7" s="59"/>
      <c r="O7" s="54"/>
      <c r="P7" s="54"/>
      <c r="Q7" s="55"/>
      <c r="R7" s="55"/>
      <c r="T7" s="56"/>
      <c r="U7" s="57"/>
    </row>
    <row r="8" spans="1:23" x14ac:dyDescent="0.25">
      <c r="A8" s="59" t="s">
        <v>203</v>
      </c>
      <c r="B8" s="53" t="s">
        <v>204</v>
      </c>
      <c r="C8" s="53" t="s">
        <v>205</v>
      </c>
      <c r="D8" s="59" t="s">
        <v>206</v>
      </c>
      <c r="E8" s="59" t="s">
        <v>207</v>
      </c>
      <c r="F8" s="59" t="s">
        <v>207</v>
      </c>
      <c r="G8" s="59">
        <v>10550</v>
      </c>
      <c r="H8" s="77" t="s">
        <v>208</v>
      </c>
      <c r="I8" s="77" t="s">
        <v>209</v>
      </c>
      <c r="J8" s="59" t="s">
        <v>210</v>
      </c>
      <c r="K8" s="59"/>
      <c r="L8" s="59"/>
      <c r="M8" s="59"/>
      <c r="N8" s="59"/>
      <c r="O8" s="54"/>
      <c r="P8" s="54"/>
      <c r="Q8" s="55"/>
      <c r="R8" s="55"/>
      <c r="T8" s="56"/>
      <c r="U8" s="57"/>
    </row>
    <row r="9" spans="1:23" x14ac:dyDescent="0.25">
      <c r="A9" s="59" t="s">
        <v>211</v>
      </c>
      <c r="B9" s="53" t="s">
        <v>178</v>
      </c>
      <c r="C9" s="53" t="s">
        <v>212</v>
      </c>
      <c r="D9" s="59" t="s">
        <v>213</v>
      </c>
      <c r="E9" s="59" t="s">
        <v>214</v>
      </c>
      <c r="F9" s="59"/>
      <c r="G9" s="59"/>
      <c r="H9" s="77" t="s">
        <v>215</v>
      </c>
      <c r="I9" s="77" t="s">
        <v>216</v>
      </c>
      <c r="J9" s="59" t="s">
        <v>217</v>
      </c>
      <c r="K9" s="59"/>
      <c r="L9" s="59"/>
      <c r="M9" s="59"/>
      <c r="N9" s="59"/>
      <c r="O9" s="54"/>
      <c r="P9" s="54"/>
      <c r="Q9" s="55"/>
      <c r="R9" s="55"/>
      <c r="T9" s="56"/>
      <c r="U9" s="57"/>
    </row>
    <row r="10" spans="1:23" x14ac:dyDescent="0.25">
      <c r="A10" s="59" t="s">
        <v>218</v>
      </c>
      <c r="B10" s="53" t="s">
        <v>204</v>
      </c>
      <c r="C10" s="53" t="s">
        <v>219</v>
      </c>
      <c r="D10" s="59" t="s">
        <v>220</v>
      </c>
      <c r="E10" s="59" t="s">
        <v>221</v>
      </c>
      <c r="F10" s="59"/>
      <c r="G10" s="59">
        <v>5230</v>
      </c>
      <c r="H10" s="77" t="s">
        <v>222</v>
      </c>
      <c r="I10" s="77" t="s">
        <v>223</v>
      </c>
      <c r="J10" s="59" t="s">
        <v>224</v>
      </c>
      <c r="K10" s="59"/>
      <c r="L10" s="59"/>
      <c r="M10" s="59"/>
      <c r="N10" s="59"/>
      <c r="O10" s="54"/>
      <c r="P10" s="54"/>
      <c r="Q10" s="55"/>
      <c r="R10" s="55"/>
      <c r="T10" s="56"/>
      <c r="U10" s="57"/>
    </row>
    <row r="11" spans="1:23" x14ac:dyDescent="0.25">
      <c r="A11" s="59" t="s">
        <v>225</v>
      </c>
      <c r="B11" s="53" t="s">
        <v>155</v>
      </c>
      <c r="C11" s="53" t="s">
        <v>226</v>
      </c>
      <c r="D11" s="59" t="s">
        <v>227</v>
      </c>
      <c r="E11" s="59" t="s">
        <v>228</v>
      </c>
      <c r="F11" s="59"/>
      <c r="G11" s="59"/>
      <c r="H11" s="77" t="s">
        <v>229</v>
      </c>
      <c r="I11" s="77" t="s">
        <v>230</v>
      </c>
      <c r="J11" s="59" t="s">
        <v>231</v>
      </c>
      <c r="K11" s="59"/>
      <c r="L11" s="59"/>
      <c r="M11" s="59"/>
      <c r="N11" s="59"/>
      <c r="O11" s="54"/>
      <c r="P11" s="54"/>
      <c r="Q11" s="55"/>
      <c r="R11" s="55"/>
      <c r="T11" s="56"/>
      <c r="U11" s="57"/>
    </row>
    <row r="12" spans="1:23" x14ac:dyDescent="0.25">
      <c r="A12" s="59" t="s">
        <v>232</v>
      </c>
      <c r="B12" s="53" t="s">
        <v>204</v>
      </c>
      <c r="C12" s="53" t="s">
        <v>233</v>
      </c>
      <c r="D12" s="59" t="s">
        <v>234</v>
      </c>
      <c r="E12" s="59" t="s">
        <v>235</v>
      </c>
      <c r="F12" s="59"/>
      <c r="G12" s="59" t="s">
        <v>236</v>
      </c>
      <c r="H12" s="77" t="s">
        <v>237</v>
      </c>
      <c r="I12" s="77" t="s">
        <v>238</v>
      </c>
      <c r="J12" s="59" t="s">
        <v>239</v>
      </c>
      <c r="K12" s="59"/>
      <c r="L12" s="59"/>
      <c r="M12" s="59"/>
      <c r="N12" s="59"/>
      <c r="O12" s="54"/>
      <c r="P12" s="54"/>
      <c r="Q12" s="55"/>
      <c r="R12" s="55"/>
      <c r="T12" s="56"/>
      <c r="U12" s="57"/>
    </row>
    <row r="13" spans="1:23" x14ac:dyDescent="0.25">
      <c r="A13" s="59" t="s">
        <v>240</v>
      </c>
      <c r="B13" s="53" t="s">
        <v>155</v>
      </c>
      <c r="C13" s="53" t="s">
        <v>241</v>
      </c>
      <c r="D13" s="59" t="s">
        <v>242</v>
      </c>
      <c r="E13" s="59" t="s">
        <v>243</v>
      </c>
      <c r="F13" s="59"/>
      <c r="G13" s="59"/>
      <c r="H13" s="77" t="s">
        <v>244</v>
      </c>
      <c r="I13" s="77" t="s">
        <v>245</v>
      </c>
      <c r="J13" s="59" t="s">
        <v>246</v>
      </c>
      <c r="K13" s="59"/>
      <c r="L13" s="59"/>
      <c r="M13" s="59"/>
      <c r="N13" s="59"/>
      <c r="O13" s="54"/>
      <c r="P13" s="54"/>
      <c r="Q13" s="55"/>
      <c r="R13" s="55"/>
      <c r="T13" s="56"/>
      <c r="U13" s="57"/>
    </row>
    <row r="14" spans="1:23" x14ac:dyDescent="0.25">
      <c r="A14" s="61" t="s">
        <v>247</v>
      </c>
      <c r="B14" s="60" t="s">
        <v>196</v>
      </c>
      <c r="C14" s="60" t="s">
        <v>248</v>
      </c>
      <c r="D14" s="61" t="s">
        <v>249</v>
      </c>
      <c r="E14" s="61" t="s">
        <v>250</v>
      </c>
      <c r="F14" s="61"/>
      <c r="G14" s="61"/>
      <c r="H14" s="78" t="s">
        <v>251</v>
      </c>
      <c r="I14" s="78" t="s">
        <v>252</v>
      </c>
      <c r="J14" s="61" t="s">
        <v>253</v>
      </c>
      <c r="K14" s="61"/>
      <c r="L14" s="61"/>
      <c r="M14" s="61"/>
      <c r="N14" s="61"/>
      <c r="O14" s="54"/>
      <c r="P14" s="54"/>
      <c r="Q14" s="55"/>
      <c r="R14" s="55"/>
      <c r="T14" s="56"/>
      <c r="U14" s="57"/>
    </row>
    <row r="15" spans="1:23" x14ac:dyDescent="0.25">
      <c r="A15" s="53" t="s">
        <v>254</v>
      </c>
      <c r="B15" s="53" t="s">
        <v>186</v>
      </c>
      <c r="C15" s="53" t="s">
        <v>255</v>
      </c>
      <c r="D15" s="53" t="s">
        <v>256</v>
      </c>
      <c r="E15" s="53" t="s">
        <v>257</v>
      </c>
      <c r="F15" s="53"/>
      <c r="G15" s="53" t="s">
        <v>258</v>
      </c>
      <c r="H15" s="79" t="s">
        <v>259</v>
      </c>
      <c r="I15" s="79" t="s">
        <v>260</v>
      </c>
      <c r="J15" s="53" t="s">
        <v>261</v>
      </c>
      <c r="K15" s="53"/>
      <c r="L15" s="53"/>
      <c r="M15" s="53"/>
      <c r="N15" s="54"/>
      <c r="O15" s="54"/>
      <c r="P15" s="54"/>
      <c r="Q15" s="55"/>
      <c r="R15" s="55"/>
      <c r="T15" s="56"/>
      <c r="U15" s="57"/>
    </row>
    <row r="16" spans="1:23" x14ac:dyDescent="0.25">
      <c r="A16" s="54" t="s">
        <v>262</v>
      </c>
      <c r="B16" s="58" t="s">
        <v>204</v>
      </c>
      <c r="C16" s="58" t="s">
        <v>263</v>
      </c>
      <c r="D16" s="54" t="s">
        <v>264</v>
      </c>
      <c r="E16" s="54" t="s">
        <v>265</v>
      </c>
      <c r="F16" s="54"/>
      <c r="G16" s="54"/>
      <c r="H16" s="80" t="s">
        <v>266</v>
      </c>
      <c r="I16" s="80" t="s">
        <v>267</v>
      </c>
      <c r="J16" s="59" t="s">
        <v>268</v>
      </c>
      <c r="K16" s="59"/>
      <c r="L16" s="59"/>
      <c r="M16" s="59"/>
      <c r="N16" s="59"/>
      <c r="O16" s="54"/>
      <c r="P16" s="54"/>
      <c r="Q16" s="55"/>
      <c r="R16" s="55"/>
      <c r="T16" s="56"/>
      <c r="U16" s="57"/>
    </row>
    <row r="17" spans="1:21" x14ac:dyDescent="0.25">
      <c r="A17" s="59" t="s">
        <v>269</v>
      </c>
      <c r="B17" s="53" t="s">
        <v>204</v>
      </c>
      <c r="C17" s="53" t="s">
        <v>270</v>
      </c>
      <c r="D17" s="59" t="s">
        <v>271</v>
      </c>
      <c r="E17" s="59" t="s">
        <v>272</v>
      </c>
      <c r="F17" s="59" t="s">
        <v>273</v>
      </c>
      <c r="G17" s="59" t="s">
        <v>274</v>
      </c>
      <c r="H17" s="77" t="s">
        <v>275</v>
      </c>
      <c r="I17" s="77" t="s">
        <v>276</v>
      </c>
      <c r="J17" s="59" t="s">
        <v>277</v>
      </c>
      <c r="K17" s="59"/>
      <c r="L17" s="59"/>
      <c r="M17" s="59"/>
      <c r="N17" s="59"/>
      <c r="O17" s="54"/>
      <c r="P17" s="54"/>
      <c r="Q17" s="55"/>
      <c r="R17" s="55"/>
      <c r="T17" s="56"/>
      <c r="U17" s="57"/>
    </row>
    <row r="18" spans="1:21" x14ac:dyDescent="0.25">
      <c r="A18" s="59" t="s">
        <v>278</v>
      </c>
      <c r="B18" s="53" t="s">
        <v>196</v>
      </c>
      <c r="C18" s="53" t="s">
        <v>279</v>
      </c>
      <c r="D18" s="59" t="s">
        <v>280</v>
      </c>
      <c r="E18" s="59" t="s">
        <v>281</v>
      </c>
      <c r="F18" s="59"/>
      <c r="G18" s="59">
        <v>43280</v>
      </c>
      <c r="H18" s="77" t="s">
        <v>282</v>
      </c>
      <c r="I18" s="77" t="s">
        <v>283</v>
      </c>
      <c r="J18" s="59" t="s">
        <v>284</v>
      </c>
      <c r="K18" s="59"/>
      <c r="L18" s="59"/>
      <c r="M18" s="59"/>
      <c r="N18" s="59"/>
      <c r="O18" s="54"/>
      <c r="P18" s="54"/>
      <c r="Q18" s="55"/>
      <c r="R18" s="55"/>
      <c r="T18" s="56"/>
      <c r="U18" s="57"/>
    </row>
    <row r="19" spans="1:21" x14ac:dyDescent="0.25">
      <c r="A19" s="59" t="s">
        <v>285</v>
      </c>
      <c r="B19" s="53" t="s">
        <v>196</v>
      </c>
      <c r="C19" s="53" t="s">
        <v>286</v>
      </c>
      <c r="D19" s="59" t="s">
        <v>287</v>
      </c>
      <c r="E19" s="59" t="s">
        <v>288</v>
      </c>
      <c r="F19" s="59"/>
      <c r="G19" s="59"/>
      <c r="H19" s="77" t="s">
        <v>289</v>
      </c>
      <c r="I19" s="77" t="s">
        <v>290</v>
      </c>
      <c r="J19" s="59" t="s">
        <v>291</v>
      </c>
      <c r="K19" s="59"/>
      <c r="L19" s="59"/>
      <c r="M19" s="59"/>
      <c r="N19" s="59"/>
      <c r="O19" s="54"/>
      <c r="P19" s="54"/>
      <c r="Q19" s="55"/>
      <c r="R19" s="55"/>
      <c r="T19" s="56"/>
      <c r="U19" s="57"/>
    </row>
    <row r="20" spans="1:21" x14ac:dyDescent="0.25">
      <c r="A20" s="59" t="s">
        <v>292</v>
      </c>
      <c r="B20" s="53" t="s">
        <v>178</v>
      </c>
      <c r="C20" s="53" t="s">
        <v>293</v>
      </c>
      <c r="D20" s="59" t="s">
        <v>294</v>
      </c>
      <c r="E20" s="59" t="s">
        <v>295</v>
      </c>
      <c r="F20" s="59"/>
      <c r="G20" s="59">
        <v>1225</v>
      </c>
      <c r="H20" s="77" t="s">
        <v>296</v>
      </c>
      <c r="I20" s="77" t="s">
        <v>297</v>
      </c>
      <c r="J20" s="59" t="s">
        <v>298</v>
      </c>
      <c r="K20" s="59"/>
      <c r="L20" s="59"/>
      <c r="M20" s="59"/>
      <c r="N20" s="59"/>
      <c r="O20" s="54"/>
      <c r="P20" s="54"/>
      <c r="Q20" s="55"/>
      <c r="R20" s="55"/>
      <c r="T20" s="56"/>
      <c r="U20" s="57"/>
    </row>
    <row r="21" spans="1:21" x14ac:dyDescent="0.25">
      <c r="A21" s="59" t="s">
        <v>299</v>
      </c>
      <c r="B21" s="53" t="s">
        <v>300</v>
      </c>
      <c r="C21" s="53" t="s">
        <v>301</v>
      </c>
      <c r="D21" s="59" t="s">
        <v>302</v>
      </c>
      <c r="E21" s="59" t="s">
        <v>303</v>
      </c>
      <c r="F21" s="59"/>
      <c r="G21" s="59"/>
      <c r="H21" s="77" t="s">
        <v>304</v>
      </c>
      <c r="I21" s="77" t="s">
        <v>305</v>
      </c>
      <c r="J21" s="59" t="s">
        <v>306</v>
      </c>
      <c r="K21" s="59"/>
      <c r="L21" s="59"/>
      <c r="M21" s="59"/>
      <c r="N21" s="59"/>
      <c r="O21" s="54"/>
      <c r="P21" s="54"/>
      <c r="Q21" s="55"/>
      <c r="R21" s="55"/>
      <c r="T21" s="56"/>
      <c r="U21" s="57"/>
    </row>
    <row r="22" spans="1:21" x14ac:dyDescent="0.25">
      <c r="A22" s="59" t="s">
        <v>307</v>
      </c>
      <c r="B22" s="53" t="s">
        <v>300</v>
      </c>
      <c r="C22" s="53" t="s">
        <v>308</v>
      </c>
      <c r="D22" s="59" t="s">
        <v>309</v>
      </c>
      <c r="E22" s="59" t="s">
        <v>310</v>
      </c>
      <c r="F22" s="59"/>
      <c r="G22" s="59">
        <v>3162</v>
      </c>
      <c r="H22" s="77" t="s">
        <v>311</v>
      </c>
      <c r="I22" s="77" t="s">
        <v>312</v>
      </c>
      <c r="J22" s="59" t="s">
        <v>313</v>
      </c>
      <c r="K22" s="59"/>
      <c r="L22" s="59"/>
      <c r="M22" s="59"/>
      <c r="N22" s="59"/>
      <c r="O22" s="54"/>
      <c r="P22" s="54"/>
      <c r="Q22" s="55"/>
      <c r="R22" s="55"/>
      <c r="T22" s="56"/>
      <c r="U22" s="57"/>
    </row>
    <row r="23" spans="1:21" x14ac:dyDescent="0.25">
      <c r="A23" s="59" t="s">
        <v>314</v>
      </c>
      <c r="B23" s="53" t="s">
        <v>186</v>
      </c>
      <c r="C23" s="53" t="s">
        <v>315</v>
      </c>
      <c r="D23" s="59" t="s">
        <v>316</v>
      </c>
      <c r="E23" s="59" t="s">
        <v>317</v>
      </c>
      <c r="F23" s="59"/>
      <c r="G23" s="59"/>
      <c r="H23" s="77" t="s">
        <v>318</v>
      </c>
      <c r="I23" s="77" t="s">
        <v>319</v>
      </c>
      <c r="J23" s="59" t="s">
        <v>320</v>
      </c>
      <c r="K23" s="59"/>
      <c r="L23" s="59"/>
      <c r="M23" s="59"/>
      <c r="N23" s="59"/>
      <c r="O23" s="54"/>
      <c r="P23" s="54"/>
      <c r="Q23" s="55"/>
      <c r="R23" s="55"/>
      <c r="T23" s="56"/>
      <c r="U23" s="57"/>
    </row>
    <row r="24" spans="1:21" x14ac:dyDescent="0.25">
      <c r="A24" s="61" t="s">
        <v>321</v>
      </c>
      <c r="B24" s="60" t="s">
        <v>178</v>
      </c>
      <c r="C24" s="60" t="s">
        <v>322</v>
      </c>
      <c r="D24" s="61" t="s">
        <v>324</v>
      </c>
      <c r="E24" s="61" t="s">
        <v>325</v>
      </c>
      <c r="F24" s="61"/>
      <c r="G24" s="61">
        <v>627439</v>
      </c>
      <c r="H24" s="78" t="s">
        <v>326</v>
      </c>
      <c r="I24" s="78" t="s">
        <v>327</v>
      </c>
      <c r="J24" s="61" t="s">
        <v>328</v>
      </c>
      <c r="K24" s="61"/>
      <c r="L24" s="61"/>
      <c r="M24" s="61"/>
      <c r="N24" s="61"/>
      <c r="O24" s="54"/>
      <c r="P24" s="54"/>
      <c r="Q24" s="55"/>
      <c r="R24" s="55"/>
      <c r="T24" s="56"/>
      <c r="U24" s="57"/>
    </row>
    <row r="25" spans="1:21" x14ac:dyDescent="0.25">
      <c r="A25" s="53" t="s">
        <v>329</v>
      </c>
      <c r="B25" s="53" t="s">
        <v>155</v>
      </c>
      <c r="C25" s="53" t="s">
        <v>330</v>
      </c>
      <c r="D25" s="53" t="s">
        <v>331</v>
      </c>
      <c r="E25" s="53" t="s">
        <v>332</v>
      </c>
      <c r="F25" s="53"/>
      <c r="G25" s="53" t="s">
        <v>333</v>
      </c>
      <c r="H25" s="79" t="s">
        <v>334</v>
      </c>
      <c r="I25" s="79" t="s">
        <v>335</v>
      </c>
      <c r="J25" s="53" t="s">
        <v>336</v>
      </c>
      <c r="K25" s="53"/>
      <c r="L25" s="53"/>
      <c r="M25" s="53"/>
      <c r="N25" s="54"/>
      <c r="O25" s="54"/>
      <c r="P25" s="54"/>
      <c r="Q25" s="55"/>
      <c r="R25" s="55"/>
      <c r="T25" s="56"/>
      <c r="U25" s="57"/>
    </row>
    <row r="26" spans="1:21" x14ac:dyDescent="0.25">
      <c r="A26" s="54" t="s">
        <v>337</v>
      </c>
      <c r="B26" s="58" t="s">
        <v>186</v>
      </c>
      <c r="C26" s="58" t="s">
        <v>338</v>
      </c>
      <c r="D26" s="54" t="s">
        <v>339</v>
      </c>
      <c r="E26" s="54" t="s">
        <v>323</v>
      </c>
      <c r="F26" s="54" t="s">
        <v>340</v>
      </c>
      <c r="G26" s="54">
        <v>33811</v>
      </c>
      <c r="H26" s="80" t="s">
        <v>341</v>
      </c>
      <c r="I26" s="80" t="s">
        <v>342</v>
      </c>
      <c r="J26" s="59" t="s">
        <v>343</v>
      </c>
      <c r="K26" s="59"/>
      <c r="L26" s="59"/>
      <c r="M26" s="59"/>
      <c r="N26" s="59"/>
      <c r="O26" s="54"/>
      <c r="P26" s="54"/>
      <c r="Q26" s="55"/>
      <c r="R26" s="55"/>
      <c r="T26" s="56"/>
      <c r="U26" s="57"/>
    </row>
    <row r="27" spans="1:21" x14ac:dyDescent="0.25">
      <c r="A27" s="59" t="s">
        <v>344</v>
      </c>
      <c r="B27" s="53" t="s">
        <v>196</v>
      </c>
      <c r="C27" s="53" t="s">
        <v>345</v>
      </c>
      <c r="D27" s="59" t="s">
        <v>346</v>
      </c>
      <c r="E27" s="59" t="s">
        <v>347</v>
      </c>
      <c r="F27" s="59"/>
      <c r="G27" s="59"/>
      <c r="H27" s="77" t="s">
        <v>348</v>
      </c>
      <c r="I27" s="77" t="s">
        <v>349</v>
      </c>
      <c r="J27" s="59" t="s">
        <v>350</v>
      </c>
      <c r="K27" s="59"/>
      <c r="L27" s="59"/>
      <c r="M27" s="59"/>
      <c r="N27" s="59"/>
      <c r="O27" s="54"/>
      <c r="P27" s="54"/>
      <c r="Q27" s="55"/>
      <c r="R27" s="55"/>
      <c r="T27" s="56"/>
      <c r="U27" s="57"/>
    </row>
    <row r="28" spans="1:21" x14ac:dyDescent="0.25">
      <c r="A28" s="59" t="s">
        <v>351</v>
      </c>
      <c r="B28" s="53" t="s">
        <v>186</v>
      </c>
      <c r="C28" s="53" t="s">
        <v>352</v>
      </c>
      <c r="D28" s="59" t="s">
        <v>353</v>
      </c>
      <c r="E28" s="59" t="s">
        <v>354</v>
      </c>
      <c r="F28" s="59"/>
      <c r="G28" s="59" t="s">
        <v>355</v>
      </c>
      <c r="H28" s="77" t="s">
        <v>356</v>
      </c>
      <c r="I28" s="77" t="s">
        <v>357</v>
      </c>
      <c r="J28" s="59" t="s">
        <v>358</v>
      </c>
      <c r="K28" s="59"/>
      <c r="L28" s="59"/>
      <c r="M28" s="59"/>
      <c r="N28" s="59"/>
      <c r="O28" s="54"/>
      <c r="P28" s="54"/>
      <c r="Q28" s="55"/>
      <c r="R28" s="55"/>
      <c r="T28" s="56"/>
      <c r="U28" s="57"/>
    </row>
    <row r="29" spans="1:21" x14ac:dyDescent="0.25">
      <c r="A29" s="59" t="s">
        <v>359</v>
      </c>
      <c r="B29" s="53" t="s">
        <v>178</v>
      </c>
      <c r="C29" s="53" t="s">
        <v>360</v>
      </c>
      <c r="D29" s="59" t="s">
        <v>361</v>
      </c>
      <c r="E29" s="59" t="s">
        <v>362</v>
      </c>
      <c r="F29" s="59" t="s">
        <v>363</v>
      </c>
      <c r="G29" s="59" t="s">
        <v>364</v>
      </c>
      <c r="H29" s="77" t="s">
        <v>365</v>
      </c>
      <c r="I29" s="77" t="s">
        <v>366</v>
      </c>
      <c r="J29" s="59" t="s">
        <v>367</v>
      </c>
      <c r="K29" s="59"/>
      <c r="L29" s="59"/>
      <c r="M29" s="59"/>
      <c r="N29" s="59"/>
      <c r="O29" s="54"/>
      <c r="P29" s="54"/>
      <c r="Q29" s="55"/>
      <c r="R29" s="55"/>
      <c r="T29" s="56"/>
      <c r="U29" s="57"/>
    </row>
    <row r="30" spans="1:21" x14ac:dyDescent="0.25">
      <c r="A30" s="59" t="s">
        <v>368</v>
      </c>
      <c r="B30" s="53" t="s">
        <v>204</v>
      </c>
      <c r="C30" s="53" t="s">
        <v>369</v>
      </c>
      <c r="D30" s="59" t="s">
        <v>370</v>
      </c>
      <c r="E30" s="59" t="s">
        <v>371</v>
      </c>
      <c r="F30" s="59"/>
      <c r="G30" s="59"/>
      <c r="H30" s="77" t="s">
        <v>372</v>
      </c>
      <c r="I30" s="77" t="s">
        <v>373</v>
      </c>
      <c r="J30" s="59" t="s">
        <v>374</v>
      </c>
      <c r="K30" s="59"/>
      <c r="L30" s="59"/>
      <c r="M30" s="59"/>
      <c r="N30" s="59"/>
      <c r="O30" s="54"/>
      <c r="P30" s="54"/>
      <c r="Q30" s="55"/>
      <c r="R30" s="55"/>
      <c r="T30" s="56"/>
      <c r="U30" s="57"/>
    </row>
    <row r="31" spans="1:21" x14ac:dyDescent="0.25">
      <c r="A31" s="59" t="s">
        <v>375</v>
      </c>
      <c r="B31" s="53" t="s">
        <v>204</v>
      </c>
      <c r="C31" s="53" t="s">
        <v>376</v>
      </c>
      <c r="D31" s="59" t="s">
        <v>377</v>
      </c>
      <c r="E31" s="59" t="s">
        <v>378</v>
      </c>
      <c r="F31" s="59"/>
      <c r="G31" s="59" t="s">
        <v>379</v>
      </c>
      <c r="H31" s="77" t="s">
        <v>380</v>
      </c>
      <c r="I31" s="77" t="s">
        <v>381</v>
      </c>
      <c r="J31" s="59" t="s">
        <v>382</v>
      </c>
      <c r="K31" s="59"/>
      <c r="L31" s="59"/>
      <c r="M31" s="59"/>
      <c r="N31" s="59"/>
      <c r="O31" s="54"/>
      <c r="P31" s="54"/>
      <c r="Q31" s="55"/>
      <c r="R31" s="55"/>
      <c r="T31" s="56"/>
      <c r="U31" s="57"/>
    </row>
    <row r="32" spans="1:21" x14ac:dyDescent="0.25">
      <c r="A32" s="59" t="s">
        <v>383</v>
      </c>
      <c r="B32" s="53" t="s">
        <v>196</v>
      </c>
      <c r="C32" s="53" t="s">
        <v>384</v>
      </c>
      <c r="D32" s="59" t="s">
        <v>385</v>
      </c>
      <c r="E32" s="59" t="s">
        <v>386</v>
      </c>
      <c r="F32" s="59" t="s">
        <v>387</v>
      </c>
      <c r="G32" s="59">
        <v>87592</v>
      </c>
      <c r="H32" s="77" t="s">
        <v>388</v>
      </c>
      <c r="I32" s="77" t="s">
        <v>389</v>
      </c>
      <c r="J32" s="59" t="s">
        <v>390</v>
      </c>
      <c r="K32" s="59"/>
      <c r="L32" s="59"/>
      <c r="M32" s="59"/>
      <c r="N32" s="59"/>
      <c r="O32" s="54"/>
      <c r="P32" s="54"/>
      <c r="Q32" s="55"/>
      <c r="R32" s="55"/>
      <c r="T32" s="56"/>
      <c r="U32" s="57"/>
    </row>
    <row r="33" spans="1:21" x14ac:dyDescent="0.25">
      <c r="A33" s="59" t="s">
        <v>391</v>
      </c>
      <c r="B33" s="53" t="s">
        <v>196</v>
      </c>
      <c r="C33" s="53" t="s">
        <v>392</v>
      </c>
      <c r="D33" s="59" t="s">
        <v>393</v>
      </c>
      <c r="E33" s="59" t="s">
        <v>394</v>
      </c>
      <c r="F33" s="59"/>
      <c r="G33" s="59"/>
      <c r="H33" s="77" t="s">
        <v>395</v>
      </c>
      <c r="I33" s="77" t="s">
        <v>396</v>
      </c>
      <c r="J33" s="59" t="s">
        <v>397</v>
      </c>
      <c r="K33" s="59"/>
      <c r="L33" s="59"/>
      <c r="M33" s="59"/>
      <c r="N33" s="59"/>
      <c r="O33" s="54"/>
      <c r="P33" s="54"/>
      <c r="Q33" s="55"/>
      <c r="R33" s="55"/>
      <c r="T33" s="56"/>
      <c r="U33" s="57"/>
    </row>
    <row r="34" spans="1:21" x14ac:dyDescent="0.25">
      <c r="A34" s="61" t="s">
        <v>398</v>
      </c>
      <c r="B34" s="60" t="s">
        <v>196</v>
      </c>
      <c r="C34" s="60" t="s">
        <v>399</v>
      </c>
      <c r="D34" s="61" t="s">
        <v>400</v>
      </c>
      <c r="E34" s="61" t="s">
        <v>401</v>
      </c>
      <c r="F34" s="61"/>
      <c r="G34" s="61"/>
      <c r="H34" s="78" t="s">
        <v>402</v>
      </c>
      <c r="I34" s="78" t="s">
        <v>403</v>
      </c>
      <c r="J34" s="61" t="s">
        <v>404</v>
      </c>
      <c r="K34" s="61"/>
      <c r="L34" s="61"/>
      <c r="M34" s="61"/>
      <c r="N34" s="61"/>
      <c r="O34" s="54"/>
      <c r="P34" s="54"/>
      <c r="Q34" s="55"/>
      <c r="R34" s="55"/>
      <c r="T34" s="56"/>
      <c r="U34" s="57"/>
    </row>
    <row r="35" spans="1:21" x14ac:dyDescent="0.25">
      <c r="A35" s="53" t="s">
        <v>405</v>
      </c>
      <c r="B35" s="53" t="s">
        <v>300</v>
      </c>
      <c r="C35" s="53" t="s">
        <v>406</v>
      </c>
      <c r="D35" s="53" t="s">
        <v>407</v>
      </c>
      <c r="E35" s="53" t="s">
        <v>408</v>
      </c>
      <c r="F35" s="53"/>
      <c r="G35" s="53"/>
      <c r="H35" s="79" t="s">
        <v>409</v>
      </c>
      <c r="I35" s="79" t="s">
        <v>410</v>
      </c>
      <c r="J35" s="53" t="s">
        <v>411</v>
      </c>
      <c r="K35" s="53"/>
      <c r="L35" s="53"/>
      <c r="M35" s="53"/>
      <c r="N35" s="54"/>
      <c r="O35" s="54"/>
      <c r="P35" s="54"/>
      <c r="Q35" s="55"/>
      <c r="R35" s="55"/>
      <c r="T35" s="56"/>
      <c r="U35" s="57"/>
    </row>
    <row r="36" spans="1:21" x14ac:dyDescent="0.25">
      <c r="A36" s="54" t="s">
        <v>412</v>
      </c>
      <c r="B36" s="58" t="s">
        <v>196</v>
      </c>
      <c r="C36" s="58" t="s">
        <v>413</v>
      </c>
      <c r="D36" s="54" t="s">
        <v>414</v>
      </c>
      <c r="E36" s="54" t="s">
        <v>415</v>
      </c>
      <c r="F36" s="54"/>
      <c r="G36" s="54"/>
      <c r="H36" s="80" t="s">
        <v>416</v>
      </c>
      <c r="I36" s="80" t="s">
        <v>417</v>
      </c>
      <c r="J36" s="59" t="s">
        <v>418</v>
      </c>
      <c r="K36" s="59"/>
      <c r="L36" s="59"/>
      <c r="M36" s="59"/>
      <c r="N36" s="59"/>
      <c r="O36" s="54"/>
      <c r="P36" s="54"/>
      <c r="Q36" s="55"/>
      <c r="R36" s="55"/>
      <c r="T36" s="56"/>
      <c r="U36" s="57"/>
    </row>
    <row r="37" spans="1:21" x14ac:dyDescent="0.25">
      <c r="A37" s="59" t="s">
        <v>419</v>
      </c>
      <c r="B37" s="53" t="s">
        <v>186</v>
      </c>
      <c r="C37" s="53" t="s">
        <v>420</v>
      </c>
      <c r="D37" s="59" t="s">
        <v>421</v>
      </c>
      <c r="E37" s="59" t="s">
        <v>422</v>
      </c>
      <c r="F37" s="59"/>
      <c r="G37" s="59"/>
      <c r="H37" s="77" t="s">
        <v>423</v>
      </c>
      <c r="I37" s="77" t="s">
        <v>424</v>
      </c>
      <c r="J37" s="59" t="s">
        <v>425</v>
      </c>
      <c r="K37" s="59"/>
      <c r="L37" s="59"/>
      <c r="M37" s="59"/>
      <c r="N37" s="59"/>
      <c r="O37" s="54"/>
      <c r="P37" s="54"/>
      <c r="Q37" s="55"/>
      <c r="R37" s="55"/>
      <c r="T37" s="56"/>
      <c r="U37" s="57"/>
    </row>
    <row r="38" spans="1:21" x14ac:dyDescent="0.25">
      <c r="A38" s="59" t="s">
        <v>426</v>
      </c>
      <c r="B38" s="53" t="s">
        <v>300</v>
      </c>
      <c r="C38" s="53" t="s">
        <v>427</v>
      </c>
      <c r="D38" s="59" t="s">
        <v>428</v>
      </c>
      <c r="E38" s="59" t="s">
        <v>429</v>
      </c>
      <c r="F38" s="59"/>
      <c r="G38" s="59"/>
      <c r="H38" s="77" t="s">
        <v>430</v>
      </c>
      <c r="I38" s="77" t="s">
        <v>431</v>
      </c>
      <c r="J38" s="59" t="s">
        <v>432</v>
      </c>
      <c r="K38" s="59"/>
      <c r="L38" s="59"/>
      <c r="M38" s="59"/>
      <c r="N38" s="59"/>
      <c r="O38" s="54"/>
      <c r="P38" s="54"/>
      <c r="Q38" s="55"/>
      <c r="R38" s="55"/>
      <c r="T38" s="56"/>
      <c r="U38" s="57"/>
    </row>
    <row r="39" spans="1:21" x14ac:dyDescent="0.25">
      <c r="A39" s="59" t="s">
        <v>433</v>
      </c>
      <c r="B39" s="53" t="s">
        <v>178</v>
      </c>
      <c r="C39" s="53" t="s">
        <v>434</v>
      </c>
      <c r="D39" s="59" t="s">
        <v>435</v>
      </c>
      <c r="E39" s="59" t="s">
        <v>436</v>
      </c>
      <c r="F39" s="59"/>
      <c r="G39" s="59">
        <v>7037</v>
      </c>
      <c r="H39" s="77" t="s">
        <v>437</v>
      </c>
      <c r="I39" s="77" t="s">
        <v>438</v>
      </c>
      <c r="J39" s="59" t="s">
        <v>439</v>
      </c>
      <c r="K39" s="59"/>
      <c r="L39" s="59"/>
      <c r="M39" s="59"/>
      <c r="N39" s="59"/>
      <c r="O39" s="54"/>
      <c r="P39" s="54"/>
      <c r="Q39" s="55"/>
      <c r="R39" s="55"/>
      <c r="T39" s="56"/>
      <c r="U39" s="57"/>
    </row>
    <row r="40" spans="1:21" x14ac:dyDescent="0.25">
      <c r="A40" s="59" t="s">
        <v>440</v>
      </c>
      <c r="B40" s="53" t="s">
        <v>155</v>
      </c>
      <c r="C40" s="53" t="s">
        <v>441</v>
      </c>
      <c r="D40" s="59" t="s">
        <v>442</v>
      </c>
      <c r="E40" s="59" t="s">
        <v>443</v>
      </c>
      <c r="F40" s="59"/>
      <c r="G40" s="59"/>
      <c r="H40" s="77" t="s">
        <v>444</v>
      </c>
      <c r="I40" s="77" t="s">
        <v>445</v>
      </c>
      <c r="J40" s="59" t="s">
        <v>446</v>
      </c>
      <c r="K40" s="59"/>
      <c r="L40" s="59"/>
      <c r="M40" s="59"/>
      <c r="N40" s="59"/>
      <c r="O40" s="54"/>
      <c r="P40" s="54"/>
      <c r="Q40" s="55"/>
      <c r="R40" s="55"/>
      <c r="T40" s="56"/>
      <c r="U40" s="57"/>
    </row>
    <row r="41" spans="1:21" x14ac:dyDescent="0.25">
      <c r="A41" s="59" t="s">
        <v>447</v>
      </c>
      <c r="B41" s="53" t="s">
        <v>300</v>
      </c>
      <c r="C41" s="53" t="s">
        <v>448</v>
      </c>
      <c r="D41" s="59" t="s">
        <v>449</v>
      </c>
      <c r="E41" s="59" t="s">
        <v>450</v>
      </c>
      <c r="F41" s="59"/>
      <c r="G41" s="59"/>
      <c r="H41" s="77" t="s">
        <v>451</v>
      </c>
      <c r="I41" s="77" t="s">
        <v>452</v>
      </c>
      <c r="J41" s="59" t="s">
        <v>453</v>
      </c>
      <c r="K41" s="59"/>
      <c r="L41" s="59"/>
      <c r="M41" s="59"/>
      <c r="N41" s="59"/>
      <c r="O41" s="54"/>
      <c r="P41" s="54"/>
      <c r="Q41" s="55"/>
      <c r="R41" s="55"/>
      <c r="T41" s="56"/>
      <c r="U41" s="57"/>
    </row>
    <row r="42" spans="1:21" x14ac:dyDescent="0.25">
      <c r="A42" s="59" t="s">
        <v>454</v>
      </c>
      <c r="B42" s="53" t="s">
        <v>178</v>
      </c>
      <c r="C42" s="53" t="s">
        <v>455</v>
      </c>
      <c r="D42" s="59" t="s">
        <v>456</v>
      </c>
      <c r="E42" s="59" t="s">
        <v>457</v>
      </c>
      <c r="F42" s="59"/>
      <c r="G42" s="59"/>
      <c r="H42" s="77" t="s">
        <v>458</v>
      </c>
      <c r="I42" s="77" t="s">
        <v>459</v>
      </c>
      <c r="J42" s="59" t="s">
        <v>460</v>
      </c>
      <c r="K42" s="59"/>
      <c r="L42" s="59"/>
      <c r="M42" s="59"/>
      <c r="N42" s="59"/>
      <c r="O42" s="54"/>
      <c r="P42" s="54"/>
      <c r="Q42" s="55"/>
      <c r="R42" s="55"/>
      <c r="T42" s="56"/>
      <c r="U42" s="57"/>
    </row>
    <row r="43" spans="1:21" x14ac:dyDescent="0.25">
      <c r="A43" s="59" t="s">
        <v>461</v>
      </c>
      <c r="B43" s="53" t="s">
        <v>186</v>
      </c>
      <c r="C43" s="53" t="s">
        <v>462</v>
      </c>
      <c r="D43" s="59" t="s">
        <v>463</v>
      </c>
      <c r="E43" s="59" t="s">
        <v>464</v>
      </c>
      <c r="F43" s="59"/>
      <c r="G43" s="59"/>
      <c r="H43" s="77" t="s">
        <v>465</v>
      </c>
      <c r="I43" s="77" t="s">
        <v>466</v>
      </c>
      <c r="J43" s="59" t="s">
        <v>467</v>
      </c>
      <c r="K43" s="59"/>
      <c r="L43" s="59"/>
      <c r="M43" s="59"/>
      <c r="N43" s="59"/>
      <c r="O43" s="54"/>
      <c r="P43" s="54"/>
      <c r="Q43" s="55"/>
      <c r="R43" s="55"/>
      <c r="T43" s="56"/>
      <c r="U43" s="57"/>
    </row>
    <row r="44" spans="1:21" x14ac:dyDescent="0.25">
      <c r="A44" s="61" t="s">
        <v>468</v>
      </c>
      <c r="B44" s="60" t="s">
        <v>204</v>
      </c>
      <c r="C44" s="60" t="s">
        <v>469</v>
      </c>
      <c r="D44" s="61" t="s">
        <v>470</v>
      </c>
      <c r="E44" s="61" t="s">
        <v>471</v>
      </c>
      <c r="F44" s="61"/>
      <c r="G44" s="61" t="s">
        <v>472</v>
      </c>
      <c r="H44" s="78" t="s">
        <v>473</v>
      </c>
      <c r="I44" s="78" t="s">
        <v>474</v>
      </c>
      <c r="J44" s="61" t="s">
        <v>475</v>
      </c>
      <c r="K44" s="61"/>
      <c r="L44" s="61"/>
      <c r="M44" s="61"/>
      <c r="N44" s="61"/>
      <c r="O44" s="54"/>
      <c r="P44" s="54"/>
      <c r="Q44" s="55"/>
      <c r="R44" s="55"/>
      <c r="T44" s="56"/>
      <c r="U44" s="57"/>
    </row>
    <row r="45" spans="1:21" x14ac:dyDescent="0.25">
      <c r="A45" s="53" t="s">
        <v>476</v>
      </c>
      <c r="B45" s="53" t="s">
        <v>178</v>
      </c>
      <c r="C45" s="53" t="s">
        <v>477</v>
      </c>
      <c r="D45" s="53" t="s">
        <v>478</v>
      </c>
      <c r="E45" s="53" t="s">
        <v>479</v>
      </c>
      <c r="F45" s="53"/>
      <c r="G45" s="53"/>
      <c r="H45" s="79" t="s">
        <v>480</v>
      </c>
      <c r="I45" s="79" t="s">
        <v>481</v>
      </c>
      <c r="J45" s="53" t="s">
        <v>482</v>
      </c>
      <c r="K45" s="53"/>
      <c r="L45" s="53"/>
      <c r="M45" s="53"/>
      <c r="N45" s="54"/>
      <c r="O45" s="54"/>
      <c r="P45" s="54"/>
      <c r="Q45" s="55"/>
      <c r="R45" s="55"/>
      <c r="T45" s="56"/>
      <c r="U45" s="57"/>
    </row>
    <row r="46" spans="1:21" x14ac:dyDescent="0.25">
      <c r="A46" s="54" t="s">
        <v>483</v>
      </c>
      <c r="B46" s="58" t="s">
        <v>204</v>
      </c>
      <c r="C46" s="58" t="s">
        <v>484</v>
      </c>
      <c r="D46" s="54" t="s">
        <v>485</v>
      </c>
      <c r="E46" s="54" t="s">
        <v>486</v>
      </c>
      <c r="F46" s="54"/>
      <c r="G46" s="54">
        <v>9225</v>
      </c>
      <c r="H46" s="80" t="s">
        <v>487</v>
      </c>
      <c r="I46" s="80" t="s">
        <v>488</v>
      </c>
      <c r="J46" s="59" t="s">
        <v>489</v>
      </c>
      <c r="K46" s="59"/>
      <c r="L46" s="59"/>
      <c r="M46" s="59"/>
      <c r="N46" s="59"/>
      <c r="O46" s="54"/>
      <c r="P46" s="54"/>
      <c r="Q46" s="55"/>
      <c r="R46" s="55"/>
      <c r="T46" s="56"/>
      <c r="U46" s="57"/>
    </row>
    <row r="47" spans="1:21" x14ac:dyDescent="0.25">
      <c r="A47" s="59" t="s">
        <v>490</v>
      </c>
      <c r="B47" s="53" t="s">
        <v>300</v>
      </c>
      <c r="C47" s="53" t="s">
        <v>491</v>
      </c>
      <c r="D47" s="59" t="s">
        <v>492</v>
      </c>
      <c r="E47" s="59" t="s">
        <v>493</v>
      </c>
      <c r="F47" s="59"/>
      <c r="G47" s="59"/>
      <c r="H47" s="77" t="s">
        <v>494</v>
      </c>
      <c r="I47" s="77" t="s">
        <v>495</v>
      </c>
      <c r="J47" s="59" t="s">
        <v>496</v>
      </c>
      <c r="K47" s="59"/>
      <c r="L47" s="59"/>
      <c r="M47" s="59"/>
      <c r="N47" s="59"/>
      <c r="O47" s="54"/>
      <c r="P47" s="54"/>
      <c r="Q47" s="55"/>
      <c r="R47" s="55"/>
      <c r="T47" s="56"/>
      <c r="U47" s="57"/>
    </row>
    <row r="48" spans="1:21" x14ac:dyDescent="0.25">
      <c r="A48" s="59" t="s">
        <v>497</v>
      </c>
      <c r="B48" s="53" t="s">
        <v>300</v>
      </c>
      <c r="C48" s="53" t="s">
        <v>498</v>
      </c>
      <c r="D48" s="59" t="s">
        <v>499</v>
      </c>
      <c r="E48" s="59" t="s">
        <v>500</v>
      </c>
      <c r="F48" s="59" t="s">
        <v>501</v>
      </c>
      <c r="G48" s="59" t="s">
        <v>502</v>
      </c>
      <c r="H48" s="77" t="s">
        <v>503</v>
      </c>
      <c r="I48" s="77" t="s">
        <v>504</v>
      </c>
      <c r="J48" s="59" t="s">
        <v>505</v>
      </c>
      <c r="K48" s="59"/>
      <c r="L48" s="59"/>
      <c r="M48" s="59"/>
      <c r="N48" s="59"/>
      <c r="O48" s="54"/>
      <c r="P48" s="54"/>
      <c r="Q48" s="55"/>
      <c r="R48" s="55"/>
      <c r="T48" s="56"/>
      <c r="U48" s="57"/>
    </row>
    <row r="49" spans="1:21" x14ac:dyDescent="0.25">
      <c r="A49" s="59" t="s">
        <v>506</v>
      </c>
      <c r="B49" s="53" t="s">
        <v>204</v>
      </c>
      <c r="C49" s="53" t="s">
        <v>507</v>
      </c>
      <c r="D49" s="59" t="s">
        <v>508</v>
      </c>
      <c r="E49" s="59" t="s">
        <v>509</v>
      </c>
      <c r="F49" s="59"/>
      <c r="G49" s="59">
        <v>2015</v>
      </c>
      <c r="H49" s="77" t="s">
        <v>510</v>
      </c>
      <c r="I49" s="77" t="s">
        <v>511</v>
      </c>
      <c r="J49" s="59" t="s">
        <v>512</v>
      </c>
      <c r="K49" s="59"/>
      <c r="L49" s="59"/>
      <c r="M49" s="59"/>
      <c r="N49" s="59"/>
      <c r="O49" s="54"/>
      <c r="P49" s="54"/>
      <c r="Q49" s="55"/>
      <c r="R49" s="55"/>
      <c r="T49" s="56"/>
      <c r="U49" s="57"/>
    </row>
    <row r="50" spans="1:21" x14ac:dyDescent="0.25">
      <c r="A50" s="59" t="s">
        <v>513</v>
      </c>
      <c r="B50" s="53" t="s">
        <v>204</v>
      </c>
      <c r="C50" s="53" t="s">
        <v>514</v>
      </c>
      <c r="D50" s="59" t="s">
        <v>515</v>
      </c>
      <c r="E50" s="59" t="s">
        <v>516</v>
      </c>
      <c r="F50" s="59"/>
      <c r="G50" s="59">
        <v>1279</v>
      </c>
      <c r="H50" s="77" t="s">
        <v>517</v>
      </c>
      <c r="I50" s="77" t="s">
        <v>518</v>
      </c>
      <c r="J50" s="59" t="s">
        <v>519</v>
      </c>
      <c r="K50" s="59"/>
      <c r="L50" s="59"/>
      <c r="M50" s="59"/>
      <c r="N50" s="59"/>
      <c r="O50" s="54"/>
      <c r="P50" s="54"/>
      <c r="Q50" s="55"/>
      <c r="R50" s="55"/>
      <c r="T50" s="56"/>
      <c r="U50" s="57"/>
    </row>
    <row r="51" spans="1:21" x14ac:dyDescent="0.25">
      <c r="A51" s="59" t="s">
        <v>520</v>
      </c>
      <c r="B51" s="53" t="s">
        <v>178</v>
      </c>
      <c r="C51" s="53" t="s">
        <v>521</v>
      </c>
      <c r="D51" s="59" t="s">
        <v>522</v>
      </c>
      <c r="E51" s="59" t="s">
        <v>523</v>
      </c>
      <c r="F51" s="59"/>
      <c r="G51" s="59" t="s">
        <v>524</v>
      </c>
      <c r="H51" s="77" t="s">
        <v>525</v>
      </c>
      <c r="I51" s="77" t="s">
        <v>526</v>
      </c>
      <c r="J51" s="59" t="s">
        <v>527</v>
      </c>
      <c r="K51" s="59"/>
      <c r="L51" s="59"/>
      <c r="M51" s="59"/>
      <c r="N51" s="59"/>
      <c r="O51" s="54"/>
      <c r="P51" s="54"/>
      <c r="Q51" s="55"/>
      <c r="R51" s="55"/>
      <c r="T51" s="56"/>
      <c r="U51" s="57"/>
    </row>
    <row r="52" spans="1:21" x14ac:dyDescent="0.25">
      <c r="A52" s="59" t="s">
        <v>528</v>
      </c>
      <c r="B52" s="53" t="s">
        <v>155</v>
      </c>
      <c r="C52" s="53" t="s">
        <v>529</v>
      </c>
      <c r="D52" s="59" t="s">
        <v>530</v>
      </c>
      <c r="E52" s="59" t="s">
        <v>531</v>
      </c>
      <c r="F52" s="59"/>
      <c r="G52" s="59"/>
      <c r="H52" s="77" t="s">
        <v>532</v>
      </c>
      <c r="I52" s="77" t="s">
        <v>533</v>
      </c>
      <c r="J52" s="59" t="s">
        <v>534</v>
      </c>
      <c r="K52" s="59"/>
      <c r="L52" s="59"/>
      <c r="M52" s="59"/>
      <c r="N52" s="59"/>
      <c r="O52" s="54"/>
      <c r="P52" s="54"/>
      <c r="Q52" s="55"/>
      <c r="R52" s="55"/>
      <c r="T52" s="56"/>
      <c r="U52" s="57"/>
    </row>
    <row r="53" spans="1:21" x14ac:dyDescent="0.25">
      <c r="A53" s="59" t="s">
        <v>535</v>
      </c>
      <c r="B53" s="53" t="s">
        <v>300</v>
      </c>
      <c r="C53" s="53" t="s">
        <v>536</v>
      </c>
      <c r="D53" s="59" t="s">
        <v>537</v>
      </c>
      <c r="E53" s="59" t="s">
        <v>538</v>
      </c>
      <c r="F53" s="59"/>
      <c r="G53" s="59"/>
      <c r="H53" s="77" t="s">
        <v>539</v>
      </c>
      <c r="I53" s="77" t="s">
        <v>540</v>
      </c>
      <c r="J53" s="59" t="s">
        <v>541</v>
      </c>
      <c r="K53" s="59"/>
      <c r="L53" s="59"/>
      <c r="M53" s="59"/>
      <c r="N53" s="59"/>
      <c r="O53" s="54"/>
      <c r="P53" s="54"/>
      <c r="Q53" s="55"/>
      <c r="R53" s="55"/>
      <c r="T53" s="56"/>
      <c r="U53" s="57"/>
    </row>
    <row r="54" spans="1:21" x14ac:dyDescent="0.25">
      <c r="A54" s="61" t="s">
        <v>542</v>
      </c>
      <c r="B54" s="60" t="s">
        <v>300</v>
      </c>
      <c r="C54" s="60" t="s">
        <v>543</v>
      </c>
      <c r="D54" s="61" t="s">
        <v>544</v>
      </c>
      <c r="E54" s="61" t="s">
        <v>545</v>
      </c>
      <c r="F54" s="61"/>
      <c r="G54" s="61" t="s">
        <v>546</v>
      </c>
      <c r="H54" s="78" t="s">
        <v>547</v>
      </c>
      <c r="I54" s="78" t="s">
        <v>548</v>
      </c>
      <c r="J54" s="61" t="s">
        <v>549</v>
      </c>
      <c r="K54" s="61"/>
      <c r="L54" s="61"/>
      <c r="M54" s="61"/>
      <c r="N54" s="61"/>
      <c r="O54" s="54"/>
      <c r="P54" s="54"/>
      <c r="Q54" s="55"/>
      <c r="R54" s="55"/>
      <c r="T54" s="56"/>
      <c r="U54" s="57"/>
    </row>
    <row r="55" spans="1:21" x14ac:dyDescent="0.25">
      <c r="A55" s="53" t="s">
        <v>550</v>
      </c>
      <c r="B55" s="53" t="s">
        <v>178</v>
      </c>
      <c r="C55" s="53" t="s">
        <v>551</v>
      </c>
      <c r="D55" s="53" t="s">
        <v>552</v>
      </c>
      <c r="E55" s="53" t="s">
        <v>553</v>
      </c>
      <c r="F55" s="53"/>
      <c r="G55" s="53">
        <v>2333</v>
      </c>
      <c r="H55" s="79" t="s">
        <v>554</v>
      </c>
      <c r="I55" s="79" t="s">
        <v>555</v>
      </c>
      <c r="J55" s="53" t="s">
        <v>556</v>
      </c>
      <c r="K55" s="53"/>
      <c r="L55" s="53"/>
      <c r="M55" s="53"/>
      <c r="N55" s="54"/>
      <c r="O55" s="54"/>
      <c r="P55" s="54"/>
      <c r="Q55" s="55"/>
      <c r="R55" s="55"/>
      <c r="T55" s="56"/>
      <c r="U55" s="57"/>
    </row>
    <row r="56" spans="1:21" x14ac:dyDescent="0.25">
      <c r="A56" s="54" t="s">
        <v>557</v>
      </c>
      <c r="B56" s="58" t="s">
        <v>186</v>
      </c>
      <c r="C56" s="58" t="s">
        <v>558</v>
      </c>
      <c r="D56" s="54" t="s">
        <v>559</v>
      </c>
      <c r="E56" s="54" t="s">
        <v>560</v>
      </c>
      <c r="F56" s="54"/>
      <c r="G56" s="54"/>
      <c r="H56" s="80" t="s">
        <v>561</v>
      </c>
      <c r="I56" s="80" t="s">
        <v>562</v>
      </c>
      <c r="J56" s="59" t="s">
        <v>563</v>
      </c>
      <c r="K56" s="59"/>
      <c r="L56" s="59"/>
      <c r="M56" s="59"/>
      <c r="N56" s="59"/>
      <c r="O56" s="54"/>
      <c r="P56" s="54"/>
      <c r="Q56" s="55"/>
      <c r="R56" s="55"/>
      <c r="T56" s="56"/>
      <c r="U56" s="57"/>
    </row>
    <row r="57" spans="1:21" x14ac:dyDescent="0.25">
      <c r="A57" s="59" t="s">
        <v>564</v>
      </c>
      <c r="B57" s="53" t="s">
        <v>196</v>
      </c>
      <c r="C57" s="53" t="s">
        <v>565</v>
      </c>
      <c r="D57" s="59" t="s">
        <v>566</v>
      </c>
      <c r="E57" s="59" t="s">
        <v>567</v>
      </c>
      <c r="F57" s="59"/>
      <c r="G57" s="59"/>
      <c r="H57" s="77" t="s">
        <v>568</v>
      </c>
      <c r="I57" s="77" t="s">
        <v>569</v>
      </c>
      <c r="J57" s="59" t="s">
        <v>570</v>
      </c>
      <c r="K57" s="59"/>
      <c r="L57" s="59"/>
      <c r="M57" s="59"/>
      <c r="N57" s="59"/>
      <c r="O57" s="54"/>
      <c r="P57" s="54"/>
      <c r="Q57" s="55"/>
      <c r="R57" s="55"/>
      <c r="T57" s="56"/>
      <c r="U57" s="57"/>
    </row>
    <row r="58" spans="1:21" x14ac:dyDescent="0.25">
      <c r="A58" s="59" t="s">
        <v>571</v>
      </c>
      <c r="B58" s="53" t="s">
        <v>186</v>
      </c>
      <c r="C58" s="53" t="s">
        <v>572</v>
      </c>
      <c r="D58" s="59" t="s">
        <v>573</v>
      </c>
      <c r="E58" s="59" t="s">
        <v>574</v>
      </c>
      <c r="F58" s="59"/>
      <c r="G58" s="59">
        <v>2248</v>
      </c>
      <c r="H58" s="77" t="s">
        <v>575</v>
      </c>
      <c r="I58" s="77" t="s">
        <v>576</v>
      </c>
      <c r="J58" s="59" t="s">
        <v>577</v>
      </c>
      <c r="K58" s="59"/>
      <c r="L58" s="59"/>
      <c r="M58" s="59"/>
      <c r="N58" s="59"/>
      <c r="O58" s="54"/>
      <c r="P58" s="54"/>
      <c r="Q58" s="55"/>
      <c r="R58" s="55"/>
      <c r="T58" s="56"/>
      <c r="U58" s="57"/>
    </row>
    <row r="59" spans="1:21" x14ac:dyDescent="0.25">
      <c r="A59" s="59" t="s">
        <v>578</v>
      </c>
      <c r="B59" s="53" t="s">
        <v>204</v>
      </c>
      <c r="C59" s="53" t="s">
        <v>579</v>
      </c>
      <c r="D59" s="59" t="s">
        <v>580</v>
      </c>
      <c r="E59" s="59" t="s">
        <v>581</v>
      </c>
      <c r="F59" s="59"/>
      <c r="G59" s="59"/>
      <c r="H59" s="77" t="s">
        <v>582</v>
      </c>
      <c r="I59" s="77" t="s">
        <v>583</v>
      </c>
      <c r="J59" s="59" t="s">
        <v>584</v>
      </c>
      <c r="K59" s="59"/>
      <c r="L59" s="59"/>
      <c r="M59" s="59"/>
      <c r="N59" s="59"/>
      <c r="O59" s="54"/>
      <c r="P59" s="54"/>
      <c r="Q59" s="55"/>
      <c r="R59" s="55"/>
      <c r="T59" s="56"/>
      <c r="U59" s="57"/>
    </row>
    <row r="60" spans="1:21" x14ac:dyDescent="0.25">
      <c r="A60" s="59" t="s">
        <v>585</v>
      </c>
      <c r="B60" s="53" t="s">
        <v>186</v>
      </c>
      <c r="C60" s="53" t="s">
        <v>586</v>
      </c>
      <c r="D60" s="59" t="s">
        <v>587</v>
      </c>
      <c r="E60" s="59" t="s">
        <v>588</v>
      </c>
      <c r="F60" s="59"/>
      <c r="G60" s="59">
        <v>606093</v>
      </c>
      <c r="H60" s="77" t="s">
        <v>589</v>
      </c>
      <c r="I60" s="77" t="s">
        <v>590</v>
      </c>
      <c r="J60" s="59" t="s">
        <v>591</v>
      </c>
      <c r="K60" s="59"/>
      <c r="L60" s="59"/>
      <c r="M60" s="59"/>
      <c r="N60" s="59"/>
      <c r="O60" s="54"/>
      <c r="P60" s="54"/>
      <c r="Q60" s="55"/>
      <c r="R60" s="55"/>
      <c r="T60" s="56"/>
      <c r="U60" s="57"/>
    </row>
    <row r="61" spans="1:21" x14ac:dyDescent="0.25">
      <c r="A61" s="59" t="s">
        <v>592</v>
      </c>
      <c r="B61" s="53" t="s">
        <v>178</v>
      </c>
      <c r="C61" s="53" t="s">
        <v>593</v>
      </c>
      <c r="D61" s="59" t="s">
        <v>594</v>
      </c>
      <c r="E61" s="59" t="s">
        <v>595</v>
      </c>
      <c r="F61" s="59" t="s">
        <v>596</v>
      </c>
      <c r="G61" s="59">
        <v>97075</v>
      </c>
      <c r="H61" s="77" t="s">
        <v>597</v>
      </c>
      <c r="I61" s="77" t="s">
        <v>598</v>
      </c>
      <c r="J61" s="59" t="s">
        <v>599</v>
      </c>
      <c r="K61" s="59"/>
      <c r="L61" s="59"/>
      <c r="M61" s="59"/>
      <c r="N61" s="59"/>
      <c r="O61" s="54"/>
      <c r="P61" s="54"/>
      <c r="Q61" s="55"/>
      <c r="R61" s="55"/>
      <c r="T61" s="56"/>
      <c r="U61" s="57"/>
    </row>
    <row r="62" spans="1:21" x14ac:dyDescent="0.25">
      <c r="A62" s="59" t="s">
        <v>600</v>
      </c>
      <c r="B62" s="53" t="s">
        <v>178</v>
      </c>
      <c r="C62" s="53" t="s">
        <v>601</v>
      </c>
      <c r="D62" s="59" t="s">
        <v>602</v>
      </c>
      <c r="E62" s="59" t="s">
        <v>603</v>
      </c>
      <c r="F62" s="59"/>
      <c r="G62" s="59">
        <v>6802</v>
      </c>
      <c r="H62" s="77" t="s">
        <v>604</v>
      </c>
      <c r="I62" s="77" t="s">
        <v>605</v>
      </c>
      <c r="J62" s="59" t="s">
        <v>606</v>
      </c>
      <c r="K62" s="59"/>
      <c r="L62" s="59"/>
      <c r="M62" s="59"/>
      <c r="N62" s="59"/>
      <c r="O62" s="54"/>
      <c r="P62" s="54"/>
      <c r="Q62" s="55"/>
      <c r="R62" s="55"/>
      <c r="T62" s="56"/>
      <c r="U62" s="57"/>
    </row>
    <row r="63" spans="1:21" x14ac:dyDescent="0.25">
      <c r="A63" s="59" t="s">
        <v>607</v>
      </c>
      <c r="B63" s="53" t="s">
        <v>155</v>
      </c>
      <c r="C63" s="53" t="s">
        <v>608</v>
      </c>
      <c r="D63" s="59" t="s">
        <v>609</v>
      </c>
      <c r="E63" s="59" t="s">
        <v>610</v>
      </c>
      <c r="F63" s="59"/>
      <c r="G63" s="59" t="s">
        <v>611</v>
      </c>
      <c r="H63" s="77" t="s">
        <v>612</v>
      </c>
      <c r="I63" s="77" t="s">
        <v>613</v>
      </c>
      <c r="J63" s="59" t="s">
        <v>614</v>
      </c>
      <c r="K63" s="59"/>
      <c r="L63" s="59"/>
      <c r="M63" s="59"/>
      <c r="N63" s="59"/>
      <c r="O63" s="54"/>
      <c r="P63" s="54"/>
      <c r="Q63" s="55"/>
      <c r="R63" s="55"/>
      <c r="T63" s="56"/>
      <c r="U63" s="57"/>
    </row>
    <row r="64" spans="1:21" x14ac:dyDescent="0.25">
      <c r="A64" s="61" t="s">
        <v>615</v>
      </c>
      <c r="B64" s="60" t="s">
        <v>204</v>
      </c>
      <c r="C64" s="60" t="s">
        <v>616</v>
      </c>
      <c r="D64" s="61" t="s">
        <v>617</v>
      </c>
      <c r="E64" s="61" t="s">
        <v>618</v>
      </c>
      <c r="F64" s="61"/>
      <c r="G64" s="61" t="s">
        <v>619</v>
      </c>
      <c r="H64" s="78" t="s">
        <v>620</v>
      </c>
      <c r="I64" s="78" t="s">
        <v>621</v>
      </c>
      <c r="J64" s="61" t="s">
        <v>622</v>
      </c>
      <c r="K64" s="61"/>
      <c r="L64" s="61"/>
      <c r="M64" s="61"/>
      <c r="N64" s="61"/>
      <c r="O64" s="54"/>
      <c r="P64" s="54"/>
      <c r="Q64" s="55"/>
      <c r="R64" s="55"/>
      <c r="T64" s="56"/>
      <c r="U64" s="57"/>
    </row>
    <row r="65" spans="1:21" x14ac:dyDescent="0.25">
      <c r="A65" s="53" t="s">
        <v>623</v>
      </c>
      <c r="B65" s="53" t="s">
        <v>178</v>
      </c>
      <c r="C65" s="53" t="s">
        <v>624</v>
      </c>
      <c r="D65" s="53" t="s">
        <v>625</v>
      </c>
      <c r="E65" s="53" t="s">
        <v>626</v>
      </c>
      <c r="F65" s="53"/>
      <c r="G65" s="53"/>
      <c r="H65" s="79" t="s">
        <v>627</v>
      </c>
      <c r="I65" s="79" t="s">
        <v>628</v>
      </c>
      <c r="J65" s="53" t="s">
        <v>629</v>
      </c>
      <c r="K65" s="53"/>
      <c r="L65" s="53"/>
      <c r="M65" s="53"/>
      <c r="N65" s="54"/>
      <c r="O65" s="54"/>
      <c r="P65" s="54"/>
      <c r="Q65" s="55"/>
      <c r="R65" s="55"/>
      <c r="T65" s="56"/>
      <c r="U65" s="57"/>
    </row>
    <row r="66" spans="1:21" x14ac:dyDescent="0.25">
      <c r="A66" s="54" t="s">
        <v>630</v>
      </c>
      <c r="B66" s="58" t="s">
        <v>155</v>
      </c>
      <c r="C66" s="58" t="s">
        <v>631</v>
      </c>
      <c r="D66" s="54" t="s">
        <v>632</v>
      </c>
      <c r="E66" s="54" t="s">
        <v>633</v>
      </c>
      <c r="F66" s="54"/>
      <c r="G66" s="54"/>
      <c r="H66" s="80" t="s">
        <v>634</v>
      </c>
      <c r="I66" s="80" t="s">
        <v>635</v>
      </c>
      <c r="J66" s="59" t="s">
        <v>636</v>
      </c>
      <c r="K66" s="59"/>
      <c r="L66" s="59"/>
      <c r="M66" s="59"/>
      <c r="N66" s="59"/>
      <c r="O66" s="54"/>
      <c r="P66" s="54"/>
      <c r="Q66" s="55"/>
      <c r="R66" s="55"/>
      <c r="T66" s="56"/>
      <c r="U66" s="57"/>
    </row>
    <row r="67" spans="1:21" x14ac:dyDescent="0.25">
      <c r="A67" s="59" t="s">
        <v>637</v>
      </c>
      <c r="B67" s="53" t="s">
        <v>178</v>
      </c>
      <c r="C67" s="53" t="s">
        <v>638</v>
      </c>
      <c r="D67" s="59" t="s">
        <v>639</v>
      </c>
      <c r="E67" s="59" t="s">
        <v>640</v>
      </c>
      <c r="F67" s="59"/>
      <c r="G67" s="59"/>
      <c r="H67" s="77" t="s">
        <v>641</v>
      </c>
      <c r="I67" s="77" t="s">
        <v>642</v>
      </c>
      <c r="J67" s="59" t="s">
        <v>643</v>
      </c>
      <c r="K67" s="59"/>
      <c r="L67" s="59"/>
      <c r="M67" s="59"/>
      <c r="N67" s="59"/>
      <c r="O67" s="54"/>
      <c r="P67" s="54"/>
      <c r="Q67" s="55"/>
      <c r="R67" s="55"/>
      <c r="T67" s="56"/>
      <c r="U67" s="57"/>
    </row>
    <row r="68" spans="1:21" x14ac:dyDescent="0.25">
      <c r="A68" s="59" t="s">
        <v>644</v>
      </c>
      <c r="B68" s="53" t="s">
        <v>178</v>
      </c>
      <c r="C68" s="53" t="s">
        <v>645</v>
      </c>
      <c r="D68" s="59" t="s">
        <v>646</v>
      </c>
      <c r="E68" s="59" t="s">
        <v>647</v>
      </c>
      <c r="F68" s="59"/>
      <c r="G68" s="59"/>
      <c r="H68" s="77" t="s">
        <v>648</v>
      </c>
      <c r="I68" s="77" t="s">
        <v>649</v>
      </c>
      <c r="J68" s="59" t="s">
        <v>650</v>
      </c>
      <c r="K68" s="59"/>
      <c r="L68" s="59"/>
      <c r="M68" s="59"/>
      <c r="N68" s="59"/>
      <c r="O68" s="54"/>
      <c r="P68" s="54"/>
      <c r="Q68" s="55"/>
      <c r="R68" s="55"/>
      <c r="T68" s="56"/>
      <c r="U68" s="57"/>
    </row>
    <row r="69" spans="1:21" x14ac:dyDescent="0.25">
      <c r="A69" s="59" t="s">
        <v>651</v>
      </c>
      <c r="B69" s="53" t="s">
        <v>178</v>
      </c>
      <c r="C69" s="53" t="s">
        <v>652</v>
      </c>
      <c r="D69" s="59" t="s">
        <v>653</v>
      </c>
      <c r="E69" s="59" t="s">
        <v>654</v>
      </c>
      <c r="F69" s="59"/>
      <c r="G69" s="59"/>
      <c r="H69" s="77" t="s">
        <v>655</v>
      </c>
      <c r="I69" s="77" t="s">
        <v>656</v>
      </c>
      <c r="J69" s="59" t="s">
        <v>657</v>
      </c>
      <c r="K69" s="59"/>
      <c r="L69" s="59"/>
      <c r="M69" s="59"/>
      <c r="N69" s="59"/>
      <c r="O69" s="54"/>
      <c r="P69" s="54"/>
      <c r="Q69" s="55"/>
      <c r="R69" s="55"/>
      <c r="T69" s="56"/>
      <c r="U69" s="57"/>
    </row>
    <row r="70" spans="1:21" x14ac:dyDescent="0.25">
      <c r="A70" s="59" t="s">
        <v>658</v>
      </c>
      <c r="B70" s="53" t="s">
        <v>204</v>
      </c>
      <c r="C70" s="53" t="s">
        <v>659</v>
      </c>
      <c r="D70" s="59" t="s">
        <v>660</v>
      </c>
      <c r="E70" s="59" t="s">
        <v>661</v>
      </c>
      <c r="F70" s="59" t="s">
        <v>662</v>
      </c>
      <c r="G70" s="59">
        <v>37665</v>
      </c>
      <c r="H70" s="77" t="s">
        <v>663</v>
      </c>
      <c r="I70" s="77" t="s">
        <v>664</v>
      </c>
      <c r="J70" s="59" t="s">
        <v>665</v>
      </c>
      <c r="K70" s="59"/>
      <c r="L70" s="59"/>
      <c r="M70" s="59"/>
      <c r="N70" s="59"/>
      <c r="O70" s="54"/>
      <c r="P70" s="54"/>
      <c r="Q70" s="55"/>
      <c r="R70" s="55"/>
      <c r="T70" s="56"/>
      <c r="U70" s="57"/>
    </row>
    <row r="71" spans="1:21" x14ac:dyDescent="0.25">
      <c r="A71" s="59" t="s">
        <v>666</v>
      </c>
      <c r="B71" s="53" t="s">
        <v>196</v>
      </c>
      <c r="C71" s="53" t="s">
        <v>667</v>
      </c>
      <c r="D71" s="59" t="s">
        <v>668</v>
      </c>
      <c r="E71" s="59" t="s">
        <v>669</v>
      </c>
      <c r="F71" s="59"/>
      <c r="G71" s="59" t="s">
        <v>670</v>
      </c>
      <c r="H71" s="77" t="s">
        <v>671</v>
      </c>
      <c r="I71" s="77" t="s">
        <v>672</v>
      </c>
      <c r="J71" s="59" t="s">
        <v>673</v>
      </c>
      <c r="K71" s="59"/>
      <c r="L71" s="59"/>
      <c r="M71" s="59"/>
      <c r="N71" s="59"/>
      <c r="O71" s="54"/>
      <c r="P71" s="54"/>
      <c r="Q71" s="55"/>
      <c r="R71" s="55"/>
      <c r="T71" s="56"/>
      <c r="U71" s="57"/>
    </row>
    <row r="72" spans="1:21" x14ac:dyDescent="0.25">
      <c r="A72" s="59" t="s">
        <v>674</v>
      </c>
      <c r="B72" s="53" t="s">
        <v>178</v>
      </c>
      <c r="C72" s="53" t="s">
        <v>675</v>
      </c>
      <c r="D72" s="59" t="s">
        <v>676</v>
      </c>
      <c r="E72" s="59" t="s">
        <v>677</v>
      </c>
      <c r="F72" s="59" t="s">
        <v>678</v>
      </c>
      <c r="G72" s="59" t="s">
        <v>679</v>
      </c>
      <c r="H72" s="77" t="s">
        <v>680</v>
      </c>
      <c r="I72" s="77" t="s">
        <v>681</v>
      </c>
      <c r="J72" s="59" t="s">
        <v>682</v>
      </c>
      <c r="K72" s="59"/>
      <c r="L72" s="59"/>
      <c r="M72" s="59"/>
      <c r="N72" s="59"/>
      <c r="O72" s="54"/>
      <c r="P72" s="54"/>
      <c r="Q72" s="55"/>
      <c r="R72" s="55"/>
      <c r="T72" s="56"/>
      <c r="U72" s="57"/>
    </row>
    <row r="73" spans="1:21" x14ac:dyDescent="0.25">
      <c r="A73" s="59" t="s">
        <v>683</v>
      </c>
      <c r="B73" s="53" t="s">
        <v>178</v>
      </c>
      <c r="C73" s="53" t="s">
        <v>684</v>
      </c>
      <c r="D73" s="59" t="s">
        <v>685</v>
      </c>
      <c r="E73" s="59" t="s">
        <v>686</v>
      </c>
      <c r="F73" s="59"/>
      <c r="G73" s="59" t="s">
        <v>687</v>
      </c>
      <c r="H73" s="77" t="s">
        <v>688</v>
      </c>
      <c r="I73" s="77" t="s">
        <v>689</v>
      </c>
      <c r="J73" s="59" t="s">
        <v>690</v>
      </c>
      <c r="K73" s="59"/>
      <c r="L73" s="59"/>
      <c r="M73" s="59"/>
      <c r="N73" s="59"/>
      <c r="O73" s="54"/>
      <c r="P73" s="54"/>
      <c r="Q73" s="55"/>
      <c r="R73" s="55"/>
      <c r="T73" s="56"/>
      <c r="U73" s="57"/>
    </row>
    <row r="74" spans="1:21" x14ac:dyDescent="0.25">
      <c r="A74" s="61" t="s">
        <v>691</v>
      </c>
      <c r="B74" s="60" t="s">
        <v>300</v>
      </c>
      <c r="C74" s="60" t="s">
        <v>692</v>
      </c>
      <c r="D74" s="61" t="s">
        <v>693</v>
      </c>
      <c r="E74" s="61" t="s">
        <v>694</v>
      </c>
      <c r="F74" s="61"/>
      <c r="G74" s="61">
        <v>649792</v>
      </c>
      <c r="H74" s="78" t="s">
        <v>695</v>
      </c>
      <c r="I74" s="78" t="s">
        <v>696</v>
      </c>
      <c r="J74" s="61" t="s">
        <v>697</v>
      </c>
      <c r="K74" s="61"/>
      <c r="L74" s="61"/>
      <c r="M74" s="61"/>
      <c r="N74" s="61"/>
      <c r="O74" s="54"/>
      <c r="P74" s="54"/>
      <c r="Q74" s="55"/>
      <c r="R74" s="55"/>
      <c r="T74" s="56"/>
      <c r="U74" s="57"/>
    </row>
    <row r="75" spans="1:21" x14ac:dyDescent="0.25">
      <c r="A75" s="53" t="s">
        <v>698</v>
      </c>
      <c r="B75" s="53" t="s">
        <v>186</v>
      </c>
      <c r="C75" s="53" t="s">
        <v>699</v>
      </c>
      <c r="D75" s="53" t="s">
        <v>700</v>
      </c>
      <c r="E75" s="53" t="s">
        <v>701</v>
      </c>
      <c r="F75" s="53"/>
      <c r="G75" s="53"/>
      <c r="H75" s="79" t="s">
        <v>702</v>
      </c>
      <c r="I75" s="79" t="s">
        <v>703</v>
      </c>
      <c r="J75" s="53" t="s">
        <v>704</v>
      </c>
      <c r="K75" s="53"/>
      <c r="L75" s="53"/>
      <c r="M75" s="53"/>
      <c r="N75" s="54"/>
      <c r="O75" s="54"/>
      <c r="P75" s="54"/>
      <c r="Q75" s="55"/>
      <c r="R75" s="55"/>
      <c r="T75" s="56"/>
      <c r="U75" s="57"/>
    </row>
    <row r="76" spans="1:21" x14ac:dyDescent="0.25">
      <c r="A76" s="54" t="s">
        <v>705</v>
      </c>
      <c r="B76" s="58" t="s">
        <v>178</v>
      </c>
      <c r="C76" s="58" t="s">
        <v>706</v>
      </c>
      <c r="D76" s="54" t="s">
        <v>707</v>
      </c>
      <c r="E76" s="54" t="s">
        <v>708</v>
      </c>
      <c r="F76" s="54" t="s">
        <v>709</v>
      </c>
      <c r="G76" s="54" t="s">
        <v>710</v>
      </c>
      <c r="H76" s="80" t="s">
        <v>711</v>
      </c>
      <c r="I76" s="80" t="s">
        <v>712</v>
      </c>
      <c r="J76" s="59" t="s">
        <v>713</v>
      </c>
      <c r="K76" s="59"/>
      <c r="L76" s="59"/>
      <c r="M76" s="59"/>
      <c r="N76" s="59"/>
      <c r="O76" s="54"/>
      <c r="P76" s="54"/>
      <c r="Q76" s="55"/>
      <c r="R76" s="55"/>
      <c r="T76" s="56"/>
      <c r="U76" s="57"/>
    </row>
    <row r="77" spans="1:21" x14ac:dyDescent="0.25">
      <c r="A77" s="59" t="s">
        <v>714</v>
      </c>
      <c r="B77" s="53" t="s">
        <v>178</v>
      </c>
      <c r="C77" s="53" t="s">
        <v>715</v>
      </c>
      <c r="D77" s="59" t="s">
        <v>716</v>
      </c>
      <c r="E77" s="59" t="s">
        <v>717</v>
      </c>
      <c r="F77" s="59"/>
      <c r="G77" s="59"/>
      <c r="H77" s="77" t="s">
        <v>718</v>
      </c>
      <c r="I77" s="77" t="s">
        <v>719</v>
      </c>
      <c r="J77" s="59" t="s">
        <v>720</v>
      </c>
      <c r="K77" s="59"/>
      <c r="L77" s="59"/>
      <c r="M77" s="59"/>
      <c r="N77" s="59"/>
      <c r="O77" s="54"/>
      <c r="P77" s="54"/>
      <c r="Q77" s="55"/>
      <c r="R77" s="55"/>
      <c r="T77" s="56"/>
      <c r="U77" s="57"/>
    </row>
    <row r="78" spans="1:21" x14ac:dyDescent="0.25">
      <c r="A78" s="59" t="s">
        <v>721</v>
      </c>
      <c r="B78" s="53" t="s">
        <v>155</v>
      </c>
      <c r="C78" s="53" t="s">
        <v>722</v>
      </c>
      <c r="D78" s="59" t="s">
        <v>723</v>
      </c>
      <c r="E78" s="59" t="s">
        <v>724</v>
      </c>
      <c r="F78" s="59"/>
      <c r="G78" s="59">
        <v>4211</v>
      </c>
      <c r="H78" s="77" t="s">
        <v>725</v>
      </c>
      <c r="I78" s="77" t="s">
        <v>726</v>
      </c>
      <c r="J78" s="59" t="s">
        <v>727</v>
      </c>
      <c r="K78" s="59"/>
      <c r="L78" s="59"/>
      <c r="M78" s="59"/>
      <c r="N78" s="59"/>
      <c r="O78" s="54"/>
      <c r="P78" s="54"/>
      <c r="Q78" s="55"/>
      <c r="R78" s="55"/>
      <c r="T78" s="56"/>
      <c r="U78" s="57"/>
    </row>
    <row r="79" spans="1:21" x14ac:dyDescent="0.25">
      <c r="A79" s="59" t="s">
        <v>728</v>
      </c>
      <c r="B79" s="53" t="s">
        <v>178</v>
      </c>
      <c r="C79" s="53" t="s">
        <v>729</v>
      </c>
      <c r="D79" s="59" t="s">
        <v>730</v>
      </c>
      <c r="E79" s="59" t="s">
        <v>731</v>
      </c>
      <c r="F79" s="59" t="s">
        <v>732</v>
      </c>
      <c r="G79" s="59" t="s">
        <v>733</v>
      </c>
      <c r="H79" s="77" t="s">
        <v>734</v>
      </c>
      <c r="I79" s="77" t="s">
        <v>735</v>
      </c>
      <c r="J79" s="59" t="s">
        <v>736</v>
      </c>
      <c r="K79" s="59"/>
      <c r="L79" s="59"/>
      <c r="M79" s="59"/>
      <c r="N79" s="59"/>
      <c r="O79" s="54"/>
      <c r="P79" s="54"/>
      <c r="Q79" s="55"/>
      <c r="R79" s="55"/>
      <c r="T79" s="56"/>
      <c r="U79" s="57"/>
    </row>
    <row r="80" spans="1:21" x14ac:dyDescent="0.25">
      <c r="A80" s="59" t="s">
        <v>737</v>
      </c>
      <c r="B80" s="53" t="s">
        <v>155</v>
      </c>
      <c r="C80" s="53" t="s">
        <v>738</v>
      </c>
      <c r="D80" s="59" t="s">
        <v>739</v>
      </c>
      <c r="E80" s="59" t="s">
        <v>740</v>
      </c>
      <c r="F80" s="59"/>
      <c r="G80" s="59"/>
      <c r="H80" s="77" t="s">
        <v>741</v>
      </c>
      <c r="I80" s="77" t="s">
        <v>742</v>
      </c>
      <c r="J80" s="59" t="s">
        <v>743</v>
      </c>
      <c r="K80" s="59"/>
      <c r="L80" s="59"/>
      <c r="M80" s="59"/>
      <c r="N80" s="59"/>
      <c r="O80" s="54"/>
      <c r="P80" s="54"/>
      <c r="Q80" s="55"/>
      <c r="R80" s="55"/>
      <c r="T80" s="56"/>
      <c r="U80" s="57"/>
    </row>
    <row r="81" spans="1:21" x14ac:dyDescent="0.25">
      <c r="A81" s="59" t="s">
        <v>744</v>
      </c>
      <c r="B81" s="53" t="s">
        <v>178</v>
      </c>
      <c r="C81" s="53" t="s">
        <v>745</v>
      </c>
      <c r="D81" s="59" t="s">
        <v>746</v>
      </c>
      <c r="E81" s="59" t="s">
        <v>747</v>
      </c>
      <c r="F81" s="59"/>
      <c r="G81" s="59">
        <v>8655</v>
      </c>
      <c r="H81" s="77" t="s">
        <v>748</v>
      </c>
      <c r="I81" s="77" t="s">
        <v>749</v>
      </c>
      <c r="J81" s="59" t="s">
        <v>750</v>
      </c>
      <c r="K81" s="59"/>
      <c r="L81" s="59"/>
      <c r="M81" s="59"/>
      <c r="N81" s="59"/>
      <c r="O81" s="54"/>
      <c r="P81" s="54"/>
      <c r="Q81" s="55"/>
      <c r="R81" s="55"/>
      <c r="T81" s="56"/>
      <c r="U81" s="57"/>
    </row>
    <row r="82" spans="1:21" x14ac:dyDescent="0.25">
      <c r="A82" s="59" t="s">
        <v>751</v>
      </c>
      <c r="B82" s="53" t="s">
        <v>300</v>
      </c>
      <c r="C82" s="53" t="s">
        <v>752</v>
      </c>
      <c r="D82" s="59" t="s">
        <v>753</v>
      </c>
      <c r="E82" s="59" t="s">
        <v>754</v>
      </c>
      <c r="F82" s="59"/>
      <c r="G82" s="59">
        <v>557</v>
      </c>
      <c r="H82" s="77" t="s">
        <v>755</v>
      </c>
      <c r="I82" s="77" t="s">
        <v>756</v>
      </c>
      <c r="J82" s="59" t="s">
        <v>757</v>
      </c>
      <c r="K82" s="59"/>
      <c r="L82" s="59"/>
      <c r="M82" s="59"/>
      <c r="N82" s="59"/>
      <c r="O82" s="54"/>
      <c r="P82" s="54"/>
      <c r="Q82" s="55"/>
      <c r="R82" s="55"/>
      <c r="T82" s="56"/>
      <c r="U82" s="57"/>
    </row>
    <row r="83" spans="1:21" x14ac:dyDescent="0.25">
      <c r="A83" s="59" t="s">
        <v>758</v>
      </c>
      <c r="B83" s="53" t="s">
        <v>155</v>
      </c>
      <c r="C83" s="53" t="s">
        <v>759</v>
      </c>
      <c r="D83" s="59" t="s">
        <v>760</v>
      </c>
      <c r="E83" s="59" t="s">
        <v>761</v>
      </c>
      <c r="F83" s="59"/>
      <c r="G83" s="59"/>
      <c r="H83" s="77" t="s">
        <v>762</v>
      </c>
      <c r="I83" s="77" t="s">
        <v>763</v>
      </c>
      <c r="J83" s="59" t="s">
        <v>764</v>
      </c>
      <c r="K83" s="59"/>
      <c r="L83" s="59"/>
      <c r="M83" s="59"/>
      <c r="N83" s="59"/>
      <c r="O83" s="54"/>
      <c r="P83" s="54"/>
      <c r="Q83" s="55"/>
      <c r="R83" s="55"/>
      <c r="T83" s="56"/>
      <c r="U83" s="57"/>
    </row>
    <row r="84" spans="1:21" x14ac:dyDescent="0.25">
      <c r="A84" s="61" t="s">
        <v>765</v>
      </c>
      <c r="B84" s="60" t="s">
        <v>186</v>
      </c>
      <c r="C84" s="60" t="s">
        <v>766</v>
      </c>
      <c r="D84" s="61" t="s">
        <v>767</v>
      </c>
      <c r="E84" s="61" t="s">
        <v>768</v>
      </c>
      <c r="F84" s="61"/>
      <c r="G84" s="61"/>
      <c r="H84" s="78" t="s">
        <v>769</v>
      </c>
      <c r="I84" s="78" t="s">
        <v>770</v>
      </c>
      <c r="J84" s="61" t="s">
        <v>771</v>
      </c>
      <c r="K84" s="61"/>
      <c r="L84" s="61"/>
      <c r="M84" s="61"/>
      <c r="N84" s="61"/>
      <c r="O84" s="54"/>
      <c r="P84" s="54"/>
      <c r="Q84" s="55"/>
      <c r="R84" s="55"/>
      <c r="T84" s="56"/>
      <c r="U84" s="57"/>
    </row>
    <row r="85" spans="1:21" x14ac:dyDescent="0.25">
      <c r="A85" s="53" t="s">
        <v>772</v>
      </c>
      <c r="B85" s="53" t="s">
        <v>178</v>
      </c>
      <c r="C85" s="53" t="s">
        <v>773</v>
      </c>
      <c r="D85" s="53" t="s">
        <v>774</v>
      </c>
      <c r="E85" s="53" t="s">
        <v>775</v>
      </c>
      <c r="F85" s="53"/>
      <c r="G85" s="53" t="s">
        <v>776</v>
      </c>
      <c r="H85" s="79" t="s">
        <v>777</v>
      </c>
      <c r="I85" s="79" t="s">
        <v>778</v>
      </c>
      <c r="J85" s="53" t="s">
        <v>779</v>
      </c>
      <c r="K85" s="53"/>
      <c r="L85" s="53"/>
      <c r="M85" s="53"/>
      <c r="N85" s="54"/>
      <c r="O85" s="54"/>
      <c r="P85" s="54"/>
      <c r="Q85" s="55"/>
      <c r="R85" s="55"/>
      <c r="T85" s="56"/>
      <c r="U85" s="57"/>
    </row>
    <row r="86" spans="1:21" x14ac:dyDescent="0.25">
      <c r="A86" s="54" t="s">
        <v>780</v>
      </c>
      <c r="B86" s="58" t="s">
        <v>178</v>
      </c>
      <c r="C86" s="58" t="s">
        <v>781</v>
      </c>
      <c r="D86" s="54" t="s">
        <v>782</v>
      </c>
      <c r="E86" s="54" t="s">
        <v>783</v>
      </c>
      <c r="F86" s="54"/>
      <c r="G86" s="54">
        <v>16008</v>
      </c>
      <c r="H86" s="80" t="s">
        <v>784</v>
      </c>
      <c r="I86" s="80" t="s">
        <v>785</v>
      </c>
      <c r="J86" s="59" t="s">
        <v>786</v>
      </c>
      <c r="K86" s="59"/>
      <c r="L86" s="59"/>
      <c r="M86" s="59"/>
      <c r="N86" s="59"/>
      <c r="O86" s="54"/>
      <c r="P86" s="54"/>
      <c r="Q86" s="55"/>
      <c r="R86" s="55"/>
      <c r="T86" s="56"/>
      <c r="U86" s="57"/>
    </row>
    <row r="87" spans="1:21" x14ac:dyDescent="0.25">
      <c r="A87" s="59" t="s">
        <v>787</v>
      </c>
      <c r="B87" s="53" t="s">
        <v>155</v>
      </c>
      <c r="C87" s="53" t="s">
        <v>788</v>
      </c>
      <c r="D87" s="59" t="s">
        <v>789</v>
      </c>
      <c r="E87" s="59" t="s">
        <v>790</v>
      </c>
      <c r="F87" s="59"/>
      <c r="G87" s="59" t="s">
        <v>791</v>
      </c>
      <c r="H87" s="77" t="s">
        <v>792</v>
      </c>
      <c r="I87" s="77" t="s">
        <v>793</v>
      </c>
      <c r="J87" s="59" t="s">
        <v>794</v>
      </c>
      <c r="K87" s="59"/>
      <c r="L87" s="59"/>
      <c r="M87" s="59"/>
      <c r="N87" s="59"/>
      <c r="O87" s="54"/>
      <c r="P87" s="54"/>
      <c r="Q87" s="55"/>
      <c r="R87" s="55"/>
      <c r="T87" s="56"/>
      <c r="U87" s="57"/>
    </row>
    <row r="88" spans="1:21" x14ac:dyDescent="0.25">
      <c r="A88" s="59" t="s">
        <v>795</v>
      </c>
      <c r="B88" s="53" t="s">
        <v>196</v>
      </c>
      <c r="C88" s="53" t="s">
        <v>796</v>
      </c>
      <c r="D88" s="59" t="s">
        <v>797</v>
      </c>
      <c r="E88" s="59" t="s">
        <v>798</v>
      </c>
      <c r="F88" s="59"/>
      <c r="G88" s="59" t="s">
        <v>799</v>
      </c>
      <c r="H88" s="77" t="s">
        <v>800</v>
      </c>
      <c r="I88" s="77" t="s">
        <v>801</v>
      </c>
      <c r="J88" s="59" t="s">
        <v>802</v>
      </c>
      <c r="K88" s="59"/>
      <c r="L88" s="59"/>
      <c r="M88" s="59"/>
      <c r="N88" s="59"/>
      <c r="O88" s="54"/>
      <c r="P88" s="54"/>
      <c r="Q88" s="55"/>
      <c r="R88" s="55"/>
      <c r="T88" s="56"/>
      <c r="U88" s="57"/>
    </row>
    <row r="89" spans="1:21" x14ac:dyDescent="0.25">
      <c r="A89" s="59" t="s">
        <v>803</v>
      </c>
      <c r="B89" s="53" t="s">
        <v>300</v>
      </c>
      <c r="C89" s="53" t="s">
        <v>804</v>
      </c>
      <c r="D89" s="59" t="s">
        <v>805</v>
      </c>
      <c r="E89" s="59" t="s">
        <v>806</v>
      </c>
      <c r="F89" s="59"/>
      <c r="G89" s="59"/>
      <c r="H89" s="77" t="s">
        <v>807</v>
      </c>
      <c r="I89" s="77" t="s">
        <v>808</v>
      </c>
      <c r="J89" s="59" t="s">
        <v>809</v>
      </c>
      <c r="K89" s="59"/>
      <c r="L89" s="59"/>
      <c r="M89" s="59"/>
      <c r="N89" s="59"/>
      <c r="O89" s="54"/>
      <c r="P89" s="54"/>
      <c r="Q89" s="55"/>
      <c r="R89" s="55"/>
      <c r="T89" s="56"/>
      <c r="U89" s="57"/>
    </row>
    <row r="90" spans="1:21" x14ac:dyDescent="0.25">
      <c r="A90" s="59" t="s">
        <v>810</v>
      </c>
      <c r="B90" s="53" t="s">
        <v>186</v>
      </c>
      <c r="C90" s="53" t="s">
        <v>811</v>
      </c>
      <c r="D90" s="59" t="s">
        <v>812</v>
      </c>
      <c r="E90" s="59" t="s">
        <v>813</v>
      </c>
      <c r="F90" s="59"/>
      <c r="G90" s="59">
        <v>5986</v>
      </c>
      <c r="H90" s="77" t="s">
        <v>814</v>
      </c>
      <c r="I90" s="77" t="s">
        <v>815</v>
      </c>
      <c r="J90" s="59" t="s">
        <v>816</v>
      </c>
      <c r="K90" s="59"/>
      <c r="L90" s="59"/>
      <c r="M90" s="59"/>
      <c r="N90" s="59"/>
      <c r="O90" s="54"/>
      <c r="P90" s="54"/>
      <c r="Q90" s="55"/>
      <c r="R90" s="55"/>
      <c r="T90" s="56"/>
      <c r="U90" s="57"/>
    </row>
    <row r="91" spans="1:21" x14ac:dyDescent="0.25">
      <c r="A91" s="59" t="s">
        <v>817</v>
      </c>
      <c r="B91" s="53" t="s">
        <v>178</v>
      </c>
      <c r="C91" s="53" t="s">
        <v>818</v>
      </c>
      <c r="D91" s="59" t="s">
        <v>819</v>
      </c>
      <c r="E91" s="59" t="s">
        <v>820</v>
      </c>
      <c r="F91" s="59" t="s">
        <v>821</v>
      </c>
      <c r="G91" s="59">
        <v>72089</v>
      </c>
      <c r="H91" s="77" t="s">
        <v>822</v>
      </c>
      <c r="I91" s="77" t="s">
        <v>823</v>
      </c>
      <c r="J91" s="59" t="s">
        <v>824</v>
      </c>
      <c r="K91" s="59"/>
      <c r="L91" s="59"/>
      <c r="M91" s="59"/>
      <c r="N91" s="59"/>
      <c r="O91" s="54"/>
      <c r="P91" s="54"/>
      <c r="Q91" s="55"/>
      <c r="R91" s="55"/>
      <c r="T91" s="56"/>
      <c r="U91" s="57"/>
    </row>
    <row r="92" spans="1:21" x14ac:dyDescent="0.25">
      <c r="A92" s="59" t="s">
        <v>825</v>
      </c>
      <c r="B92" s="53" t="s">
        <v>155</v>
      </c>
      <c r="C92" s="53" t="s">
        <v>826</v>
      </c>
      <c r="D92" s="59" t="s">
        <v>827</v>
      </c>
      <c r="E92" s="59" t="s">
        <v>828</v>
      </c>
      <c r="F92" s="59"/>
      <c r="G92" s="59" t="s">
        <v>829</v>
      </c>
      <c r="H92" s="77" t="s">
        <v>830</v>
      </c>
      <c r="I92" s="77" t="s">
        <v>831</v>
      </c>
      <c r="J92" s="59" t="s">
        <v>832</v>
      </c>
      <c r="K92" s="59"/>
      <c r="L92" s="59"/>
      <c r="M92" s="59"/>
      <c r="N92" s="59"/>
      <c r="O92" s="54"/>
      <c r="P92" s="54"/>
      <c r="Q92" s="55"/>
      <c r="R92" s="55"/>
      <c r="T92" s="56"/>
      <c r="U92" s="57"/>
    </row>
    <row r="93" spans="1:21" x14ac:dyDescent="0.25">
      <c r="A93" s="59" t="s">
        <v>833</v>
      </c>
      <c r="B93" s="53" t="s">
        <v>186</v>
      </c>
      <c r="C93" s="53" t="s">
        <v>834</v>
      </c>
      <c r="D93" s="59" t="s">
        <v>835</v>
      </c>
      <c r="E93" s="59" t="s">
        <v>836</v>
      </c>
      <c r="F93" s="59"/>
      <c r="G93" s="59">
        <v>4415</v>
      </c>
      <c r="H93" s="77" t="s">
        <v>837</v>
      </c>
      <c r="I93" s="77" t="s">
        <v>838</v>
      </c>
      <c r="J93" s="59" t="s">
        <v>839</v>
      </c>
      <c r="K93" s="59"/>
      <c r="L93" s="59"/>
      <c r="M93" s="59"/>
      <c r="N93" s="59"/>
      <c r="O93" s="54"/>
      <c r="P93" s="54"/>
      <c r="Q93" s="55"/>
      <c r="R93" s="55"/>
      <c r="T93" s="56"/>
      <c r="U93" s="57"/>
    </row>
    <row r="94" spans="1:21" x14ac:dyDescent="0.25">
      <c r="A94" s="61" t="s">
        <v>840</v>
      </c>
      <c r="B94" s="60" t="s">
        <v>300</v>
      </c>
      <c r="C94" s="60" t="s">
        <v>841</v>
      </c>
      <c r="D94" s="61" t="s">
        <v>842</v>
      </c>
      <c r="E94" s="61" t="s">
        <v>843</v>
      </c>
      <c r="F94" s="61" t="s">
        <v>844</v>
      </c>
      <c r="G94" s="61" t="s">
        <v>845</v>
      </c>
      <c r="H94" s="78" t="s">
        <v>846</v>
      </c>
      <c r="I94" s="78" t="s">
        <v>847</v>
      </c>
      <c r="J94" s="61" t="s">
        <v>848</v>
      </c>
      <c r="K94" s="61"/>
      <c r="L94" s="61"/>
      <c r="M94" s="61"/>
      <c r="N94" s="61"/>
      <c r="O94" s="54"/>
      <c r="P94" s="54"/>
      <c r="Q94" s="55"/>
      <c r="R94" s="55"/>
      <c r="T94" s="56"/>
      <c r="U94" s="57"/>
    </row>
    <row r="95" spans="1:21" x14ac:dyDescent="0.25">
      <c r="A95" s="53" t="s">
        <v>849</v>
      </c>
      <c r="B95" s="53" t="s">
        <v>178</v>
      </c>
      <c r="C95" s="53" t="s">
        <v>850</v>
      </c>
      <c r="D95" s="53" t="s">
        <v>851</v>
      </c>
      <c r="E95" s="53" t="s">
        <v>852</v>
      </c>
      <c r="F95" s="53"/>
      <c r="G95" s="53">
        <v>452200</v>
      </c>
      <c r="H95" s="79" t="s">
        <v>853</v>
      </c>
      <c r="I95" s="79" t="s">
        <v>854</v>
      </c>
      <c r="J95" s="53" t="s">
        <v>855</v>
      </c>
      <c r="K95" s="53"/>
      <c r="L95" s="53"/>
      <c r="M95" s="53"/>
      <c r="N95" s="54"/>
      <c r="O95" s="54"/>
      <c r="P95" s="54"/>
      <c r="Q95" s="55"/>
      <c r="R95" s="55"/>
      <c r="T95" s="56"/>
      <c r="U95" s="57"/>
    </row>
    <row r="96" spans="1:21" x14ac:dyDescent="0.25">
      <c r="A96" s="54" t="s">
        <v>856</v>
      </c>
      <c r="B96" s="58" t="s">
        <v>196</v>
      </c>
      <c r="C96" s="58" t="s">
        <v>857</v>
      </c>
      <c r="D96" s="54" t="s">
        <v>858</v>
      </c>
      <c r="E96" s="54" t="s">
        <v>859</v>
      </c>
      <c r="F96" s="54" t="s">
        <v>860</v>
      </c>
      <c r="G96" s="54">
        <v>98442</v>
      </c>
      <c r="H96" s="80" t="s">
        <v>861</v>
      </c>
      <c r="I96" s="80" t="s">
        <v>862</v>
      </c>
      <c r="J96" s="59" t="s">
        <v>863</v>
      </c>
      <c r="K96" s="59"/>
      <c r="L96" s="59"/>
      <c r="M96" s="59"/>
      <c r="N96" s="59"/>
      <c r="O96" s="54"/>
      <c r="P96" s="54"/>
      <c r="Q96" s="55"/>
      <c r="R96" s="55"/>
      <c r="T96" s="56"/>
      <c r="U96" s="57"/>
    </row>
    <row r="97" spans="1:21" x14ac:dyDescent="0.25">
      <c r="A97" s="59" t="s">
        <v>864</v>
      </c>
      <c r="B97" s="53" t="s">
        <v>155</v>
      </c>
      <c r="C97" s="53" t="s">
        <v>865</v>
      </c>
      <c r="D97" s="59" t="s">
        <v>866</v>
      </c>
      <c r="E97" s="59" t="s">
        <v>867</v>
      </c>
      <c r="F97" s="59"/>
      <c r="G97" s="59" t="s">
        <v>868</v>
      </c>
      <c r="H97" s="77" t="s">
        <v>869</v>
      </c>
      <c r="I97" s="77" t="s">
        <v>870</v>
      </c>
      <c r="J97" s="59" t="s">
        <v>871</v>
      </c>
      <c r="K97" s="59"/>
      <c r="L97" s="59"/>
      <c r="M97" s="59"/>
      <c r="N97" s="59"/>
      <c r="O97" s="54"/>
      <c r="P97" s="54"/>
      <c r="Q97" s="55"/>
      <c r="R97" s="55"/>
      <c r="T97" s="56"/>
      <c r="U97" s="57"/>
    </row>
    <row r="98" spans="1:21" x14ac:dyDescent="0.25">
      <c r="A98" s="59" t="s">
        <v>872</v>
      </c>
      <c r="B98" s="53" t="s">
        <v>204</v>
      </c>
      <c r="C98" s="53" t="s">
        <v>873</v>
      </c>
      <c r="D98" s="59" t="s">
        <v>874</v>
      </c>
      <c r="E98" s="59" t="s">
        <v>875</v>
      </c>
      <c r="F98" s="59"/>
      <c r="G98" s="59"/>
      <c r="H98" s="77" t="s">
        <v>876</v>
      </c>
      <c r="I98" s="77" t="s">
        <v>877</v>
      </c>
      <c r="J98" s="59" t="s">
        <v>878</v>
      </c>
      <c r="K98" s="59"/>
      <c r="L98" s="59"/>
      <c r="M98" s="59"/>
      <c r="N98" s="59"/>
      <c r="O98" s="54"/>
      <c r="P98" s="54"/>
      <c r="Q98" s="55"/>
      <c r="R98" s="55"/>
      <c r="T98" s="56"/>
      <c r="U98" s="57"/>
    </row>
    <row r="99" spans="1:21" x14ac:dyDescent="0.25">
      <c r="A99" s="59" t="s">
        <v>879</v>
      </c>
      <c r="B99" s="53" t="s">
        <v>178</v>
      </c>
      <c r="C99" s="53" t="s">
        <v>880</v>
      </c>
      <c r="D99" s="59" t="s">
        <v>881</v>
      </c>
      <c r="E99" s="59" t="s">
        <v>882</v>
      </c>
      <c r="F99" s="59"/>
      <c r="G99" s="59">
        <v>51217</v>
      </c>
      <c r="H99" s="77" t="s">
        <v>883</v>
      </c>
      <c r="I99" s="77" t="s">
        <v>884</v>
      </c>
      <c r="J99" s="59" t="s">
        <v>885</v>
      </c>
      <c r="K99" s="59"/>
      <c r="L99" s="59"/>
      <c r="M99" s="59"/>
      <c r="N99" s="59"/>
      <c r="O99" s="54"/>
      <c r="P99" s="54"/>
      <c r="Q99" s="55"/>
      <c r="R99" s="55"/>
      <c r="T99" s="56"/>
      <c r="U99" s="57"/>
    </row>
    <row r="100" spans="1:21" x14ac:dyDescent="0.25">
      <c r="A100" s="59" t="s">
        <v>886</v>
      </c>
      <c r="B100" s="53" t="s">
        <v>178</v>
      </c>
      <c r="C100" s="53" t="s">
        <v>887</v>
      </c>
      <c r="D100" s="59" t="s">
        <v>888</v>
      </c>
      <c r="E100" s="59" t="s">
        <v>889</v>
      </c>
      <c r="F100" s="59"/>
      <c r="G100" s="59" t="s">
        <v>890</v>
      </c>
      <c r="H100" s="77" t="s">
        <v>891</v>
      </c>
      <c r="I100" s="77" t="s">
        <v>892</v>
      </c>
      <c r="J100" s="59" t="s">
        <v>893</v>
      </c>
      <c r="K100" s="59"/>
      <c r="L100" s="59"/>
      <c r="M100" s="59"/>
      <c r="N100" s="59"/>
      <c r="O100" s="54"/>
      <c r="P100" s="54"/>
      <c r="Q100" s="55"/>
      <c r="R100" s="55"/>
      <c r="T100" s="56"/>
      <c r="U100" s="57"/>
    </row>
    <row r="101" spans="1:21" x14ac:dyDescent="0.25">
      <c r="A101" s="59" t="s">
        <v>894</v>
      </c>
      <c r="B101" s="53" t="s">
        <v>178</v>
      </c>
      <c r="C101" s="53" t="s">
        <v>895</v>
      </c>
      <c r="D101" s="59" t="s">
        <v>896</v>
      </c>
      <c r="E101" s="59" t="s">
        <v>897</v>
      </c>
      <c r="F101" s="59"/>
      <c r="G101" s="59" t="s">
        <v>898</v>
      </c>
      <c r="H101" s="77" t="s">
        <v>899</v>
      </c>
      <c r="I101" s="77" t="s">
        <v>900</v>
      </c>
      <c r="J101" s="59" t="s">
        <v>901</v>
      </c>
      <c r="K101" s="59"/>
      <c r="L101" s="59"/>
      <c r="M101" s="59"/>
      <c r="N101" s="59"/>
      <c r="O101" s="54"/>
      <c r="P101" s="54"/>
      <c r="Q101" s="55"/>
      <c r="R101" s="55"/>
      <c r="T101" s="56"/>
      <c r="U101" s="57"/>
    </row>
    <row r="102" spans="1:21" x14ac:dyDescent="0.25">
      <c r="A102" s="59" t="s">
        <v>902</v>
      </c>
      <c r="B102" s="53" t="s">
        <v>204</v>
      </c>
      <c r="C102" s="53" t="s">
        <v>903</v>
      </c>
      <c r="D102" s="59" t="s">
        <v>904</v>
      </c>
      <c r="E102" s="59" t="s">
        <v>905</v>
      </c>
      <c r="F102" s="59"/>
      <c r="G102" s="59" t="s">
        <v>906</v>
      </c>
      <c r="H102" s="77" t="s">
        <v>907</v>
      </c>
      <c r="I102" s="77" t="s">
        <v>908</v>
      </c>
      <c r="J102" s="59" t="s">
        <v>909</v>
      </c>
      <c r="K102" s="59"/>
      <c r="L102" s="59"/>
      <c r="M102" s="59"/>
      <c r="N102" s="59"/>
      <c r="O102" s="54"/>
      <c r="P102" s="54"/>
      <c r="Q102" s="55"/>
      <c r="R102" s="55"/>
      <c r="T102" s="56"/>
      <c r="U102" s="57"/>
    </row>
    <row r="103" spans="1:21" x14ac:dyDescent="0.25">
      <c r="A103" s="59" t="s">
        <v>910</v>
      </c>
      <c r="B103" s="53" t="s">
        <v>178</v>
      </c>
      <c r="C103" s="53" t="s">
        <v>911</v>
      </c>
      <c r="D103" s="59" t="s">
        <v>912</v>
      </c>
      <c r="E103" s="59" t="s">
        <v>913</v>
      </c>
      <c r="F103" s="59"/>
      <c r="G103" s="59" t="s">
        <v>914</v>
      </c>
      <c r="H103" s="77" t="s">
        <v>915</v>
      </c>
      <c r="I103" s="77" t="s">
        <v>916</v>
      </c>
      <c r="J103" s="59" t="s">
        <v>917</v>
      </c>
      <c r="K103" s="59"/>
      <c r="L103" s="59"/>
      <c r="M103" s="59"/>
      <c r="N103" s="59"/>
      <c r="O103" s="54"/>
      <c r="P103" s="54"/>
      <c r="Q103" s="55"/>
      <c r="R103" s="55"/>
      <c r="T103" s="56"/>
      <c r="U103" s="57"/>
    </row>
    <row r="104" spans="1:21" x14ac:dyDescent="0.25">
      <c r="A104" s="61" t="s">
        <v>918</v>
      </c>
      <c r="B104" s="60" t="s">
        <v>178</v>
      </c>
      <c r="C104" s="60" t="s">
        <v>919</v>
      </c>
      <c r="D104" s="61" t="s">
        <v>920</v>
      </c>
      <c r="E104" s="61" t="s">
        <v>921</v>
      </c>
      <c r="F104" s="61"/>
      <c r="G104" s="61">
        <v>15170</v>
      </c>
      <c r="H104" s="78" t="s">
        <v>922</v>
      </c>
      <c r="I104" s="78" t="s">
        <v>923</v>
      </c>
      <c r="J104" s="61" t="s">
        <v>924</v>
      </c>
      <c r="K104" s="61"/>
      <c r="L104" s="61"/>
      <c r="M104" s="61"/>
      <c r="N104" s="61"/>
      <c r="O104" s="54"/>
      <c r="P104" s="54"/>
      <c r="Q104" s="55"/>
      <c r="R104" s="55"/>
      <c r="T104" s="56"/>
      <c r="U104" s="57"/>
    </row>
    <row r="105" spans="1:21" x14ac:dyDescent="0.25">
      <c r="A105" s="53" t="s">
        <v>925</v>
      </c>
      <c r="B105" s="53" t="s">
        <v>186</v>
      </c>
      <c r="C105" s="53" t="s">
        <v>926</v>
      </c>
      <c r="D105" s="53" t="s">
        <v>927</v>
      </c>
      <c r="E105" s="53" t="s">
        <v>928</v>
      </c>
      <c r="F105" s="53"/>
      <c r="G105" s="53" t="s">
        <v>929</v>
      </c>
      <c r="H105" s="79" t="s">
        <v>930</v>
      </c>
      <c r="I105" s="79" t="s">
        <v>931</v>
      </c>
      <c r="J105" s="53" t="s">
        <v>932</v>
      </c>
      <c r="K105" s="53"/>
      <c r="L105" s="53"/>
      <c r="M105" s="53"/>
      <c r="N105" s="54"/>
      <c r="O105" s="54"/>
      <c r="P105" s="54"/>
      <c r="Q105" s="55"/>
      <c r="R105" s="55"/>
      <c r="T105" s="56"/>
      <c r="U105" s="57"/>
    </row>
    <row r="106" spans="1:21" x14ac:dyDescent="0.25">
      <c r="A106" s="54" t="s">
        <v>933</v>
      </c>
      <c r="B106" s="58" t="s">
        <v>196</v>
      </c>
      <c r="C106" s="58" t="s">
        <v>934</v>
      </c>
      <c r="D106" s="54" t="s">
        <v>935</v>
      </c>
      <c r="E106" s="54" t="s">
        <v>820</v>
      </c>
      <c r="F106" s="54" t="s">
        <v>936</v>
      </c>
      <c r="G106" s="54">
        <v>39260</v>
      </c>
      <c r="H106" s="80" t="s">
        <v>937</v>
      </c>
      <c r="I106" s="80" t="s">
        <v>938</v>
      </c>
      <c r="J106" s="59" t="s">
        <v>939</v>
      </c>
      <c r="K106" s="59"/>
      <c r="L106" s="59"/>
      <c r="M106" s="59"/>
      <c r="N106" s="59"/>
      <c r="O106" s="54"/>
      <c r="P106" s="54"/>
      <c r="Q106" s="55"/>
      <c r="R106" s="55"/>
      <c r="T106" s="56"/>
      <c r="U106" s="57"/>
    </row>
    <row r="107" spans="1:21" x14ac:dyDescent="0.25">
      <c r="A107" s="59" t="s">
        <v>940</v>
      </c>
      <c r="B107" s="53" t="s">
        <v>300</v>
      </c>
      <c r="C107" s="53" t="s">
        <v>941</v>
      </c>
      <c r="D107" s="59" t="s">
        <v>942</v>
      </c>
      <c r="E107" s="59" t="s">
        <v>943</v>
      </c>
      <c r="F107" s="59"/>
      <c r="G107" s="59"/>
      <c r="H107" s="77" t="s">
        <v>944</v>
      </c>
      <c r="I107" s="77" t="s">
        <v>945</v>
      </c>
      <c r="J107" s="59" t="s">
        <v>946</v>
      </c>
      <c r="K107" s="59"/>
      <c r="L107" s="59"/>
      <c r="M107" s="59"/>
      <c r="N107" s="59"/>
      <c r="O107" s="54"/>
      <c r="P107" s="54"/>
      <c r="Q107" s="55"/>
      <c r="R107" s="55"/>
      <c r="T107" s="56"/>
      <c r="U107" s="57"/>
    </row>
    <row r="108" spans="1:21" x14ac:dyDescent="0.25">
      <c r="A108" s="59" t="s">
        <v>947</v>
      </c>
      <c r="B108" s="53" t="s">
        <v>186</v>
      </c>
      <c r="C108" s="53" t="s">
        <v>948</v>
      </c>
      <c r="D108" s="59" t="s">
        <v>949</v>
      </c>
      <c r="E108" s="59" t="s">
        <v>950</v>
      </c>
      <c r="F108" s="59" t="s">
        <v>951</v>
      </c>
      <c r="G108" s="59" t="s">
        <v>952</v>
      </c>
      <c r="H108" s="77" t="s">
        <v>953</v>
      </c>
      <c r="I108" s="77" t="s">
        <v>954</v>
      </c>
      <c r="J108" s="59" t="s">
        <v>955</v>
      </c>
      <c r="K108" s="59"/>
      <c r="L108" s="59"/>
      <c r="M108" s="59"/>
      <c r="N108" s="59"/>
      <c r="O108" s="54"/>
      <c r="P108" s="54"/>
      <c r="Q108" s="55"/>
      <c r="R108" s="55"/>
      <c r="T108" s="56"/>
      <c r="U108" s="57"/>
    </row>
    <row r="109" spans="1:21" x14ac:dyDescent="0.25">
      <c r="A109" s="59" t="s">
        <v>956</v>
      </c>
      <c r="B109" s="53" t="s">
        <v>204</v>
      </c>
      <c r="C109" s="53" t="s">
        <v>957</v>
      </c>
      <c r="D109" s="59" t="s">
        <v>958</v>
      </c>
      <c r="E109" s="59" t="s">
        <v>959</v>
      </c>
      <c r="F109" s="59"/>
      <c r="G109" s="59"/>
      <c r="H109" s="77" t="s">
        <v>960</v>
      </c>
      <c r="I109" s="77" t="s">
        <v>961</v>
      </c>
      <c r="J109" s="59" t="s">
        <v>962</v>
      </c>
      <c r="K109" s="59"/>
      <c r="L109" s="59"/>
      <c r="M109" s="59"/>
      <c r="N109" s="59"/>
      <c r="O109" s="54"/>
      <c r="P109" s="54"/>
      <c r="Q109" s="55"/>
      <c r="R109" s="55"/>
      <c r="T109" s="56"/>
      <c r="U109" s="57"/>
    </row>
    <row r="110" spans="1:21" x14ac:dyDescent="0.25">
      <c r="A110" s="59" t="s">
        <v>963</v>
      </c>
      <c r="B110" s="53" t="s">
        <v>204</v>
      </c>
      <c r="C110" s="53" t="s">
        <v>964</v>
      </c>
      <c r="D110" s="59" t="s">
        <v>965</v>
      </c>
      <c r="E110" s="59" t="s">
        <v>966</v>
      </c>
      <c r="F110" s="59"/>
      <c r="G110" s="59"/>
      <c r="H110" s="77" t="s">
        <v>967</v>
      </c>
      <c r="I110" s="77" t="s">
        <v>968</v>
      </c>
      <c r="J110" s="59" t="s">
        <v>969</v>
      </c>
      <c r="K110" s="59"/>
      <c r="L110" s="59"/>
      <c r="M110" s="59"/>
      <c r="N110" s="59"/>
      <c r="O110" s="54"/>
      <c r="P110" s="54"/>
      <c r="Q110" s="55"/>
      <c r="R110" s="55"/>
      <c r="T110" s="56"/>
      <c r="U110" s="57"/>
    </row>
    <row r="111" spans="1:21" x14ac:dyDescent="0.25">
      <c r="A111" s="59" t="s">
        <v>970</v>
      </c>
      <c r="B111" s="53" t="s">
        <v>204</v>
      </c>
      <c r="C111" s="53" t="s">
        <v>971</v>
      </c>
      <c r="D111" s="59" t="s">
        <v>972</v>
      </c>
      <c r="E111" s="59" t="s">
        <v>973</v>
      </c>
      <c r="F111" s="59"/>
      <c r="G111" s="59"/>
      <c r="H111" s="77" t="s">
        <v>974</v>
      </c>
      <c r="I111" s="77" t="s">
        <v>975</v>
      </c>
      <c r="J111" s="59" t="s">
        <v>976</v>
      </c>
      <c r="K111" s="59"/>
      <c r="L111" s="59"/>
      <c r="M111" s="59"/>
      <c r="N111" s="59"/>
      <c r="O111" s="54"/>
      <c r="P111" s="54"/>
      <c r="Q111" s="55"/>
      <c r="R111" s="55"/>
      <c r="T111" s="56"/>
      <c r="U111" s="57"/>
    </row>
    <row r="112" spans="1:21" x14ac:dyDescent="0.25">
      <c r="A112" s="59" t="s">
        <v>977</v>
      </c>
      <c r="B112" s="53" t="s">
        <v>196</v>
      </c>
      <c r="C112" s="53" t="s">
        <v>978</v>
      </c>
      <c r="D112" s="59" t="s">
        <v>979</v>
      </c>
      <c r="E112" s="59" t="s">
        <v>980</v>
      </c>
      <c r="F112" s="59"/>
      <c r="G112" s="59"/>
      <c r="H112" s="77" t="s">
        <v>981</v>
      </c>
      <c r="I112" s="77" t="s">
        <v>982</v>
      </c>
      <c r="J112" s="59" t="s">
        <v>983</v>
      </c>
      <c r="K112" s="59"/>
      <c r="L112" s="59"/>
      <c r="M112" s="59"/>
      <c r="N112" s="59"/>
      <c r="O112" s="54"/>
      <c r="P112" s="54"/>
      <c r="Q112" s="55"/>
      <c r="R112" s="55"/>
      <c r="T112" s="56"/>
      <c r="U112" s="57"/>
    </row>
    <row r="113" spans="1:21" x14ac:dyDescent="0.25">
      <c r="A113" s="59" t="s">
        <v>984</v>
      </c>
      <c r="B113" s="53" t="s">
        <v>300</v>
      </c>
      <c r="C113" s="53" t="s">
        <v>985</v>
      </c>
      <c r="D113" s="59" t="s">
        <v>986</v>
      </c>
      <c r="E113" s="59" t="s">
        <v>987</v>
      </c>
      <c r="F113" s="59"/>
      <c r="G113" s="59"/>
      <c r="H113" s="77" t="s">
        <v>988</v>
      </c>
      <c r="I113" s="77" t="s">
        <v>989</v>
      </c>
      <c r="J113" s="59" t="s">
        <v>990</v>
      </c>
      <c r="K113" s="59"/>
      <c r="L113" s="59"/>
      <c r="M113" s="59"/>
      <c r="N113" s="59"/>
      <c r="O113" s="54"/>
      <c r="P113" s="54"/>
      <c r="Q113" s="55"/>
      <c r="R113" s="55"/>
      <c r="T113" s="56"/>
      <c r="U113" s="57"/>
    </row>
    <row r="114" spans="1:21" x14ac:dyDescent="0.25">
      <c r="A114" s="61" t="s">
        <v>991</v>
      </c>
      <c r="B114" s="60" t="s">
        <v>204</v>
      </c>
      <c r="C114" s="60" t="s">
        <v>992</v>
      </c>
      <c r="D114" s="61" t="s">
        <v>993</v>
      </c>
      <c r="E114" s="61" t="s">
        <v>994</v>
      </c>
      <c r="F114" s="61"/>
      <c r="G114" s="61"/>
      <c r="H114" s="78" t="s">
        <v>995</v>
      </c>
      <c r="I114" s="78" t="s">
        <v>996</v>
      </c>
      <c r="J114" s="61" t="s">
        <v>997</v>
      </c>
      <c r="K114" s="61"/>
      <c r="L114" s="61"/>
      <c r="M114" s="61"/>
      <c r="N114" s="61"/>
      <c r="O114" s="54"/>
      <c r="P114" s="54"/>
      <c r="Q114" s="55"/>
      <c r="R114" s="55"/>
      <c r="T114" s="56"/>
      <c r="U114" s="57"/>
    </row>
    <row r="115" spans="1:21" x14ac:dyDescent="0.25">
      <c r="A115" s="92" t="s">
        <v>998</v>
      </c>
      <c r="B115" s="92" t="s">
        <v>300</v>
      </c>
      <c r="C115" s="53" t="s">
        <v>999</v>
      </c>
      <c r="D115" s="53" t="s">
        <v>1000</v>
      </c>
      <c r="E115" s="53" t="s">
        <v>1001</v>
      </c>
      <c r="F115" s="53"/>
      <c r="G115" s="53"/>
      <c r="H115" s="79" t="s">
        <v>1002</v>
      </c>
      <c r="I115" s="79" t="s">
        <v>1003</v>
      </c>
      <c r="J115" s="53" t="s">
        <v>1004</v>
      </c>
      <c r="K115" s="53"/>
      <c r="L115" s="53"/>
      <c r="M115" s="53"/>
      <c r="N115" s="54"/>
      <c r="O115" s="54"/>
      <c r="P115" s="54"/>
      <c r="Q115" s="55"/>
      <c r="R115" s="55"/>
      <c r="T115" s="56"/>
      <c r="U115" s="57"/>
    </row>
    <row r="116" spans="1:21" x14ac:dyDescent="0.25">
      <c r="A116" s="54" t="s">
        <v>1005</v>
      </c>
      <c r="B116" s="58" t="s">
        <v>196</v>
      </c>
      <c r="C116" s="58" t="s">
        <v>1006</v>
      </c>
      <c r="D116" s="54" t="s">
        <v>1007</v>
      </c>
      <c r="E116" s="54" t="s">
        <v>1008</v>
      </c>
      <c r="F116" s="54"/>
      <c r="G116" s="54">
        <v>52460</v>
      </c>
      <c r="H116" s="80" t="s">
        <v>1009</v>
      </c>
      <c r="I116" s="80" t="s">
        <v>1010</v>
      </c>
      <c r="J116" s="59" t="s">
        <v>1011</v>
      </c>
      <c r="K116" s="59"/>
      <c r="L116" s="59"/>
      <c r="M116" s="59"/>
      <c r="N116" s="59"/>
      <c r="O116" s="54"/>
      <c r="P116" s="54"/>
      <c r="Q116" s="55"/>
      <c r="R116" s="55"/>
      <c r="T116" s="56"/>
      <c r="U116" s="57"/>
    </row>
    <row r="117" spans="1:21" x14ac:dyDescent="0.25">
      <c r="A117" s="59" t="s">
        <v>1012</v>
      </c>
      <c r="B117" s="53" t="s">
        <v>178</v>
      </c>
      <c r="C117" s="53" t="s">
        <v>1013</v>
      </c>
      <c r="D117" s="59" t="s">
        <v>1014</v>
      </c>
      <c r="E117" s="59" t="s">
        <v>1015</v>
      </c>
      <c r="F117" s="59" t="s">
        <v>1016</v>
      </c>
      <c r="G117" s="59" t="s">
        <v>1017</v>
      </c>
      <c r="H117" s="77" t="s">
        <v>1018</v>
      </c>
      <c r="I117" s="77" t="s">
        <v>1019</v>
      </c>
      <c r="J117" s="59" t="s">
        <v>1020</v>
      </c>
      <c r="K117" s="59"/>
      <c r="L117" s="59"/>
      <c r="M117" s="59"/>
      <c r="N117" s="59"/>
      <c r="O117" s="54"/>
      <c r="P117" s="54"/>
      <c r="Q117" s="55"/>
      <c r="R117" s="55"/>
      <c r="T117" s="56"/>
      <c r="U117" s="57"/>
    </row>
    <row r="118" spans="1:21" x14ac:dyDescent="0.25">
      <c r="A118" s="59" t="s">
        <v>1021</v>
      </c>
      <c r="B118" s="53" t="s">
        <v>204</v>
      </c>
      <c r="C118" s="53" t="s">
        <v>1022</v>
      </c>
      <c r="D118" s="59" t="s">
        <v>1023</v>
      </c>
      <c r="E118" s="59" t="s">
        <v>1024</v>
      </c>
      <c r="F118" s="59"/>
      <c r="G118" s="59"/>
      <c r="H118" s="77" t="s">
        <v>1025</v>
      </c>
      <c r="I118" s="77" t="s">
        <v>1026</v>
      </c>
      <c r="J118" s="59" t="s">
        <v>1027</v>
      </c>
      <c r="K118" s="59"/>
      <c r="L118" s="59"/>
      <c r="M118" s="59"/>
      <c r="N118" s="59"/>
      <c r="O118" s="54"/>
      <c r="P118" s="54"/>
      <c r="Q118" s="55"/>
      <c r="R118" s="55"/>
      <c r="T118" s="56"/>
      <c r="U118" s="57"/>
    </row>
    <row r="119" spans="1:21" x14ac:dyDescent="0.25">
      <c r="A119" s="59" t="s">
        <v>1028</v>
      </c>
      <c r="B119" s="53" t="s">
        <v>186</v>
      </c>
      <c r="C119" s="53" t="s">
        <v>1029</v>
      </c>
      <c r="D119" s="59" t="s">
        <v>1030</v>
      </c>
      <c r="E119" s="59" t="s">
        <v>1031</v>
      </c>
      <c r="F119" s="59"/>
      <c r="G119" s="59">
        <v>3524</v>
      </c>
      <c r="H119" s="77" t="s">
        <v>1032</v>
      </c>
      <c r="I119" s="77" t="s">
        <v>1033</v>
      </c>
      <c r="J119" s="59" t="s">
        <v>1034</v>
      </c>
      <c r="K119" s="59"/>
      <c r="L119" s="59"/>
      <c r="M119" s="59"/>
      <c r="N119" s="59"/>
      <c r="O119" s="54"/>
      <c r="P119" s="54"/>
      <c r="Q119" s="55"/>
      <c r="R119" s="55"/>
      <c r="T119" s="56"/>
      <c r="U119" s="57"/>
    </row>
    <row r="120" spans="1:21" x14ac:dyDescent="0.25">
      <c r="A120" s="59" t="s">
        <v>1035</v>
      </c>
      <c r="B120" s="53" t="s">
        <v>204</v>
      </c>
      <c r="C120" s="53" t="s">
        <v>1036</v>
      </c>
      <c r="D120" s="59" t="s">
        <v>1037</v>
      </c>
      <c r="E120" s="59" t="s">
        <v>1038</v>
      </c>
      <c r="F120" s="59"/>
      <c r="G120" s="59">
        <v>1151</v>
      </c>
      <c r="H120" s="77" t="s">
        <v>1039</v>
      </c>
      <c r="I120" s="77" t="s">
        <v>1040</v>
      </c>
      <c r="J120" s="59" t="s">
        <v>1041</v>
      </c>
      <c r="K120" s="59"/>
      <c r="L120" s="59"/>
      <c r="M120" s="59"/>
      <c r="N120" s="59"/>
      <c r="O120" s="54"/>
      <c r="P120" s="54"/>
      <c r="Q120" s="55"/>
      <c r="R120" s="55"/>
      <c r="T120" s="56"/>
      <c r="U120" s="57"/>
    </row>
    <row r="121" spans="1:21" x14ac:dyDescent="0.25">
      <c r="A121" s="59" t="s">
        <v>1042</v>
      </c>
      <c r="B121" s="53" t="s">
        <v>204</v>
      </c>
      <c r="C121" s="53" t="s">
        <v>1043</v>
      </c>
      <c r="D121" s="59" t="s">
        <v>1044</v>
      </c>
      <c r="E121" s="59" t="s">
        <v>1045</v>
      </c>
      <c r="F121" s="59" t="s">
        <v>1046</v>
      </c>
      <c r="G121" s="59" t="s">
        <v>1047</v>
      </c>
      <c r="H121" s="77" t="s">
        <v>1048</v>
      </c>
      <c r="I121" s="77" t="s">
        <v>1049</v>
      </c>
      <c r="J121" s="59" t="s">
        <v>1050</v>
      </c>
      <c r="K121" s="59"/>
      <c r="L121" s="59"/>
      <c r="M121" s="59"/>
      <c r="N121" s="59"/>
      <c r="O121" s="54"/>
      <c r="P121" s="54"/>
      <c r="Q121" s="55"/>
      <c r="R121" s="55"/>
      <c r="T121" s="56"/>
      <c r="U121" s="57"/>
    </row>
    <row r="122" spans="1:21" x14ac:dyDescent="0.25">
      <c r="A122" s="59" t="s">
        <v>1051</v>
      </c>
      <c r="B122" s="53" t="s">
        <v>155</v>
      </c>
      <c r="C122" s="53" t="s">
        <v>1052</v>
      </c>
      <c r="D122" s="59" t="s">
        <v>1053</v>
      </c>
      <c r="E122" s="59" t="s">
        <v>1054</v>
      </c>
      <c r="F122" s="59"/>
      <c r="G122" s="59"/>
      <c r="H122" s="77" t="s">
        <v>1055</v>
      </c>
      <c r="I122" s="77" t="s">
        <v>1056</v>
      </c>
      <c r="J122" s="59" t="s">
        <v>1057</v>
      </c>
      <c r="K122" s="59"/>
      <c r="L122" s="59"/>
      <c r="M122" s="59"/>
      <c r="N122" s="59"/>
      <c r="O122" s="54"/>
      <c r="P122" s="54"/>
      <c r="Q122" s="55"/>
      <c r="R122" s="55"/>
      <c r="T122" s="56"/>
      <c r="U122" s="57"/>
    </row>
    <row r="123" spans="1:21" x14ac:dyDescent="0.25">
      <c r="A123" s="59" t="s">
        <v>1058</v>
      </c>
      <c r="B123" s="53" t="s">
        <v>186</v>
      </c>
      <c r="C123" s="53" t="s">
        <v>1059</v>
      </c>
      <c r="D123" s="59" t="s">
        <v>1060</v>
      </c>
      <c r="E123" s="59" t="s">
        <v>1061</v>
      </c>
      <c r="F123" s="59"/>
      <c r="G123" s="59"/>
      <c r="H123" s="77" t="s">
        <v>1062</v>
      </c>
      <c r="I123" s="77" t="s">
        <v>1063</v>
      </c>
      <c r="J123" s="59" t="s">
        <v>1064</v>
      </c>
      <c r="K123" s="59"/>
      <c r="L123" s="59"/>
      <c r="M123" s="59"/>
      <c r="N123" s="59"/>
      <c r="O123" s="54"/>
      <c r="P123" s="54"/>
      <c r="Q123" s="55"/>
      <c r="R123" s="55"/>
      <c r="T123" s="56"/>
      <c r="U123" s="57"/>
    </row>
    <row r="124" spans="1:21" x14ac:dyDescent="0.25">
      <c r="A124" s="61" t="s">
        <v>1065</v>
      </c>
      <c r="B124" s="60" t="s">
        <v>204</v>
      </c>
      <c r="C124" s="60" t="s">
        <v>1066</v>
      </c>
      <c r="D124" s="61" t="s">
        <v>1067</v>
      </c>
      <c r="E124" s="61" t="s">
        <v>1068</v>
      </c>
      <c r="F124" s="61"/>
      <c r="G124" s="61"/>
      <c r="H124" s="78" t="s">
        <v>1069</v>
      </c>
      <c r="I124" s="78" t="s">
        <v>1070</v>
      </c>
      <c r="J124" s="61" t="s">
        <v>1071</v>
      </c>
      <c r="K124" s="61"/>
      <c r="L124" s="61"/>
      <c r="M124" s="61"/>
      <c r="N124" s="61"/>
      <c r="O124" s="54"/>
      <c r="P124" s="54"/>
      <c r="Q124" s="55"/>
      <c r="R124" s="55"/>
      <c r="T124" s="56"/>
      <c r="U124" s="57"/>
    </row>
    <row r="125" spans="1:21" x14ac:dyDescent="0.25">
      <c r="A125" s="53" t="s">
        <v>1072</v>
      </c>
      <c r="B125" s="53" t="s">
        <v>155</v>
      </c>
      <c r="C125" s="53" t="s">
        <v>1073</v>
      </c>
      <c r="D125" s="53" t="s">
        <v>1074</v>
      </c>
      <c r="E125" s="53" t="s">
        <v>1075</v>
      </c>
      <c r="F125" s="53"/>
      <c r="G125" s="53"/>
      <c r="H125" s="79" t="s">
        <v>1076</v>
      </c>
      <c r="I125" s="79" t="s">
        <v>1077</v>
      </c>
      <c r="J125" s="53" t="s">
        <v>1078</v>
      </c>
      <c r="K125" s="53"/>
      <c r="L125" s="53"/>
      <c r="M125" s="53"/>
      <c r="N125" s="54"/>
      <c r="O125" s="54"/>
      <c r="P125" s="54"/>
      <c r="Q125" s="55"/>
      <c r="R125" s="55"/>
      <c r="T125" s="56"/>
      <c r="U125" s="57"/>
    </row>
    <row r="126" spans="1:21" x14ac:dyDescent="0.25">
      <c r="A126" s="54" t="s">
        <v>1079</v>
      </c>
      <c r="B126" s="58" t="s">
        <v>204</v>
      </c>
      <c r="C126" s="58" t="s">
        <v>1080</v>
      </c>
      <c r="D126" s="54" t="s">
        <v>1081</v>
      </c>
      <c r="E126" s="54" t="s">
        <v>1082</v>
      </c>
      <c r="F126" s="54" t="s">
        <v>1083</v>
      </c>
      <c r="G126" s="54">
        <v>1728</v>
      </c>
      <c r="H126" s="80" t="s">
        <v>1084</v>
      </c>
      <c r="I126" s="80" t="s">
        <v>1085</v>
      </c>
      <c r="J126" s="59" t="s">
        <v>1086</v>
      </c>
      <c r="K126" s="59"/>
      <c r="L126" s="59"/>
      <c r="M126" s="59"/>
      <c r="N126" s="59"/>
      <c r="O126" s="54"/>
      <c r="P126" s="54"/>
      <c r="Q126" s="55"/>
      <c r="R126" s="55"/>
      <c r="T126" s="56"/>
      <c r="U126" s="57"/>
    </row>
    <row r="127" spans="1:21" x14ac:dyDescent="0.25">
      <c r="A127" s="59" t="s">
        <v>1087</v>
      </c>
      <c r="B127" s="53" t="s">
        <v>204</v>
      </c>
      <c r="C127" s="53" t="s">
        <v>1088</v>
      </c>
      <c r="D127" s="59" t="s">
        <v>1089</v>
      </c>
      <c r="E127" s="59" t="s">
        <v>1090</v>
      </c>
      <c r="F127" s="59" t="s">
        <v>1091</v>
      </c>
      <c r="G127" s="59">
        <v>4874</v>
      </c>
      <c r="H127" s="77" t="s">
        <v>1092</v>
      </c>
      <c r="I127" s="77" t="s">
        <v>1093</v>
      </c>
      <c r="J127" s="59" t="s">
        <v>1094</v>
      </c>
      <c r="K127" s="59"/>
      <c r="L127" s="59"/>
      <c r="M127" s="59"/>
      <c r="N127" s="59"/>
      <c r="O127" s="54"/>
      <c r="P127" s="54"/>
      <c r="Q127" s="55"/>
      <c r="R127" s="55"/>
      <c r="T127" s="56"/>
      <c r="U127" s="57"/>
    </row>
    <row r="128" spans="1:21" x14ac:dyDescent="0.25">
      <c r="A128" s="59" t="s">
        <v>1095</v>
      </c>
      <c r="B128" s="53" t="s">
        <v>178</v>
      </c>
      <c r="C128" s="53" t="s">
        <v>1096</v>
      </c>
      <c r="D128" s="59" t="s">
        <v>1097</v>
      </c>
      <c r="E128" s="59" t="s">
        <v>1098</v>
      </c>
      <c r="F128" s="59"/>
      <c r="G128" s="59"/>
      <c r="H128" s="77" t="s">
        <v>1099</v>
      </c>
      <c r="I128" s="77" t="s">
        <v>1100</v>
      </c>
      <c r="J128" s="59" t="s">
        <v>1101</v>
      </c>
      <c r="K128" s="59"/>
      <c r="L128" s="59"/>
      <c r="M128" s="59"/>
      <c r="N128" s="59"/>
      <c r="O128" s="54"/>
      <c r="P128" s="54"/>
      <c r="Q128" s="55"/>
      <c r="R128" s="55"/>
      <c r="T128" s="56"/>
      <c r="U128" s="57"/>
    </row>
    <row r="129" spans="1:21" x14ac:dyDescent="0.25">
      <c r="A129" s="59" t="s">
        <v>1102</v>
      </c>
      <c r="B129" s="53" t="s">
        <v>300</v>
      </c>
      <c r="C129" s="53" t="s">
        <v>1103</v>
      </c>
      <c r="D129" s="59" t="s">
        <v>1104</v>
      </c>
      <c r="E129" s="59" t="s">
        <v>1105</v>
      </c>
      <c r="F129" s="59"/>
      <c r="G129" s="59">
        <v>44273</v>
      </c>
      <c r="H129" s="77" t="s">
        <v>1106</v>
      </c>
      <c r="I129" s="77" t="s">
        <v>1107</v>
      </c>
      <c r="J129" s="59" t="s">
        <v>1108</v>
      </c>
      <c r="K129" s="59"/>
      <c r="L129" s="59"/>
      <c r="M129" s="59"/>
      <c r="N129" s="59"/>
      <c r="O129" s="54"/>
      <c r="P129" s="54"/>
      <c r="Q129" s="55"/>
      <c r="R129" s="55"/>
      <c r="T129" s="56"/>
      <c r="U129" s="57"/>
    </row>
    <row r="130" spans="1:21" x14ac:dyDescent="0.25">
      <c r="A130" s="59" t="s">
        <v>1109</v>
      </c>
      <c r="B130" s="53" t="s">
        <v>178</v>
      </c>
      <c r="C130" s="53" t="s">
        <v>1110</v>
      </c>
      <c r="D130" s="59" t="s">
        <v>1111</v>
      </c>
      <c r="E130" s="59" t="s">
        <v>1112</v>
      </c>
      <c r="F130" s="59"/>
      <c r="G130" s="59"/>
      <c r="H130" s="77" t="s">
        <v>1113</v>
      </c>
      <c r="I130" s="77" t="s">
        <v>1114</v>
      </c>
      <c r="J130" s="59" t="s">
        <v>1115</v>
      </c>
      <c r="K130" s="59"/>
      <c r="L130" s="59"/>
      <c r="M130" s="59"/>
      <c r="N130" s="59"/>
      <c r="O130" s="54"/>
      <c r="P130" s="54"/>
      <c r="Q130" s="55"/>
      <c r="R130" s="55"/>
      <c r="T130" s="56"/>
      <c r="U130" s="57"/>
    </row>
    <row r="131" spans="1:21" x14ac:dyDescent="0.25">
      <c r="A131" s="59" t="s">
        <v>1116</v>
      </c>
      <c r="B131" s="53" t="s">
        <v>196</v>
      </c>
      <c r="C131" s="53" t="s">
        <v>1117</v>
      </c>
      <c r="D131" s="59" t="s">
        <v>1118</v>
      </c>
      <c r="E131" s="59" t="s">
        <v>1119</v>
      </c>
      <c r="F131" s="59"/>
      <c r="G131" s="59"/>
      <c r="H131" s="77" t="s">
        <v>1120</v>
      </c>
      <c r="I131" s="77" t="s">
        <v>1121</v>
      </c>
      <c r="J131" s="59" t="s">
        <v>1122</v>
      </c>
      <c r="K131" s="59"/>
      <c r="L131" s="59"/>
      <c r="M131" s="59"/>
      <c r="N131" s="59"/>
      <c r="O131" s="54"/>
      <c r="P131" s="54"/>
      <c r="Q131" s="55"/>
      <c r="R131" s="55"/>
      <c r="T131" s="56"/>
      <c r="U131" s="57"/>
    </row>
    <row r="132" spans="1:21" x14ac:dyDescent="0.25">
      <c r="A132" s="59" t="s">
        <v>1123</v>
      </c>
      <c r="B132" s="53" t="s">
        <v>196</v>
      </c>
      <c r="C132" s="53" t="s">
        <v>1124</v>
      </c>
      <c r="D132" s="59" t="s">
        <v>1125</v>
      </c>
      <c r="E132" s="59" t="s">
        <v>1126</v>
      </c>
      <c r="F132" s="59"/>
      <c r="G132" s="59" t="s">
        <v>1127</v>
      </c>
      <c r="H132" s="77" t="s">
        <v>1128</v>
      </c>
      <c r="I132" s="77" t="s">
        <v>1129</v>
      </c>
      <c r="J132" s="59" t="s">
        <v>1130</v>
      </c>
      <c r="K132" s="59"/>
      <c r="L132" s="59"/>
      <c r="M132" s="59"/>
      <c r="N132" s="59"/>
      <c r="O132" s="54"/>
      <c r="P132" s="54"/>
      <c r="Q132" s="55"/>
      <c r="R132" s="55"/>
      <c r="T132" s="56"/>
      <c r="U132" s="57"/>
    </row>
    <row r="133" spans="1:21" x14ac:dyDescent="0.25">
      <c r="A133" s="59" t="s">
        <v>1131</v>
      </c>
      <c r="B133" s="53" t="s">
        <v>186</v>
      </c>
      <c r="C133" s="53" t="s">
        <v>1132</v>
      </c>
      <c r="D133" s="59" t="s">
        <v>1133</v>
      </c>
      <c r="E133" s="59" t="s">
        <v>1134</v>
      </c>
      <c r="F133" s="59"/>
      <c r="G133" s="59" t="s">
        <v>1135</v>
      </c>
      <c r="H133" s="77" t="s">
        <v>1136</v>
      </c>
      <c r="I133" s="77" t="s">
        <v>1137</v>
      </c>
      <c r="J133" s="59" t="s">
        <v>1138</v>
      </c>
      <c r="K133" s="59"/>
      <c r="L133" s="59"/>
      <c r="M133" s="59"/>
      <c r="N133" s="59"/>
      <c r="O133" s="54"/>
      <c r="P133" s="54"/>
      <c r="Q133" s="55"/>
      <c r="R133" s="55"/>
      <c r="T133" s="56"/>
      <c r="U133" s="57"/>
    </row>
    <row r="134" spans="1:21" x14ac:dyDescent="0.25">
      <c r="A134" s="61" t="s">
        <v>1139</v>
      </c>
      <c r="B134" s="60" t="s">
        <v>204</v>
      </c>
      <c r="C134" s="60" t="s">
        <v>1140</v>
      </c>
      <c r="D134" s="61" t="s">
        <v>1141</v>
      </c>
      <c r="E134" s="61" t="s">
        <v>1142</v>
      </c>
      <c r="F134" s="61"/>
      <c r="G134" s="61" t="s">
        <v>1143</v>
      </c>
      <c r="H134" s="78" t="s">
        <v>1144</v>
      </c>
      <c r="I134" s="78" t="s">
        <v>1145</v>
      </c>
      <c r="J134" s="61" t="s">
        <v>1146</v>
      </c>
      <c r="K134" s="61"/>
      <c r="L134" s="61"/>
      <c r="M134" s="61"/>
      <c r="N134" s="61"/>
      <c r="O134" s="54"/>
      <c r="P134" s="54"/>
      <c r="Q134" s="55"/>
      <c r="R134" s="55"/>
      <c r="T134" s="56"/>
      <c r="U134" s="57"/>
    </row>
    <row r="135" spans="1:21" ht="15.75" x14ac:dyDescent="0.25">
      <c r="A135" s="60" t="s">
        <v>1147</v>
      </c>
      <c r="B135" s="60" t="s">
        <v>155</v>
      </c>
      <c r="C135" s="60" t="s">
        <v>1148</v>
      </c>
      <c r="D135" s="60" t="s">
        <v>1149</v>
      </c>
      <c r="E135" s="60" t="s">
        <v>1150</v>
      </c>
      <c r="F135" s="60"/>
      <c r="G135" s="60">
        <v>10902</v>
      </c>
      <c r="H135" s="82" t="s">
        <v>1151</v>
      </c>
      <c r="I135" s="82" t="s">
        <v>1152</v>
      </c>
      <c r="J135" s="60" t="s">
        <v>1153</v>
      </c>
      <c r="K135" s="60"/>
      <c r="L135" s="60"/>
      <c r="M135" s="60"/>
      <c r="N135" s="60"/>
      <c r="O135" s="60"/>
      <c r="P135" s="54"/>
      <c r="Q135" s="75"/>
      <c r="R135" s="75"/>
      <c r="S135" s="26"/>
      <c r="T135" s="27"/>
      <c r="U135" s="28"/>
    </row>
    <row r="136" spans="1:21" x14ac:dyDescent="0.25">
      <c r="A136" s="60" t="s">
        <v>1154</v>
      </c>
      <c r="B136" s="60" t="s">
        <v>204</v>
      </c>
      <c r="C136" s="60" t="s">
        <v>1155</v>
      </c>
      <c r="D136" s="60" t="s">
        <v>1156</v>
      </c>
      <c r="E136" s="60" t="s">
        <v>1157</v>
      </c>
      <c r="F136" s="60"/>
      <c r="G136" s="60">
        <v>633260</v>
      </c>
      <c r="H136" s="82" t="s">
        <v>1158</v>
      </c>
      <c r="I136" s="82" t="s">
        <v>1159</v>
      </c>
      <c r="J136" s="60" t="s">
        <v>1160</v>
      </c>
      <c r="K136" s="60"/>
      <c r="L136" s="60"/>
      <c r="M136" s="60"/>
      <c r="N136" s="60"/>
      <c r="O136" s="60"/>
      <c r="P136" s="54"/>
      <c r="Q136" s="75"/>
      <c r="R136" s="75"/>
      <c r="T136" s="56"/>
      <c r="U136" s="57"/>
    </row>
    <row r="137" spans="1:21" x14ac:dyDescent="0.25">
      <c r="A137" s="60" t="s">
        <v>1161</v>
      </c>
      <c r="B137" s="60" t="s">
        <v>196</v>
      </c>
      <c r="C137" s="60" t="s">
        <v>1162</v>
      </c>
      <c r="D137" s="60" t="s">
        <v>1163</v>
      </c>
      <c r="E137" s="60" t="s">
        <v>1164</v>
      </c>
      <c r="F137" s="60"/>
      <c r="G137" s="60" t="s">
        <v>1165</v>
      </c>
      <c r="H137" s="82" t="s">
        <v>1166</v>
      </c>
      <c r="I137" s="82" t="s">
        <v>1167</v>
      </c>
      <c r="J137" s="60" t="s">
        <v>1168</v>
      </c>
      <c r="K137" s="60"/>
      <c r="L137" s="60"/>
      <c r="M137" s="60"/>
      <c r="N137" s="60"/>
      <c r="O137" s="60"/>
      <c r="P137" s="54"/>
      <c r="Q137" s="75"/>
      <c r="R137" s="75"/>
      <c r="T137" s="56"/>
      <c r="U137" s="57"/>
    </row>
    <row r="138" spans="1:21" x14ac:dyDescent="0.25">
      <c r="A138" s="60" t="s">
        <v>1169</v>
      </c>
      <c r="B138" s="60" t="s">
        <v>300</v>
      </c>
      <c r="C138" s="60" t="s">
        <v>1170</v>
      </c>
      <c r="D138" s="60" t="s">
        <v>1171</v>
      </c>
      <c r="E138" s="60" t="s">
        <v>1172</v>
      </c>
      <c r="F138" s="60" t="s">
        <v>1173</v>
      </c>
      <c r="G138" s="60">
        <v>77228</v>
      </c>
      <c r="H138" s="82" t="s">
        <v>1174</v>
      </c>
      <c r="I138" s="82" t="s">
        <v>1175</v>
      </c>
      <c r="J138" s="60" t="s">
        <v>1176</v>
      </c>
      <c r="K138" s="60"/>
      <c r="L138" s="60"/>
      <c r="M138" s="60"/>
      <c r="N138" s="60"/>
      <c r="O138" s="60"/>
      <c r="P138" s="54"/>
      <c r="Q138" s="75"/>
      <c r="R138" s="75"/>
      <c r="T138" s="56"/>
      <c r="U138" s="57"/>
    </row>
    <row r="139" spans="1:21" x14ac:dyDescent="0.25">
      <c r="A139" s="60" t="s">
        <v>1177</v>
      </c>
      <c r="B139" s="60" t="s">
        <v>178</v>
      </c>
      <c r="C139" s="60" t="s">
        <v>1178</v>
      </c>
      <c r="D139" s="60" t="s">
        <v>1179</v>
      </c>
      <c r="E139" s="60" t="s">
        <v>1180</v>
      </c>
      <c r="F139" s="60"/>
      <c r="G139" s="60">
        <v>11105</v>
      </c>
      <c r="H139" s="82" t="s">
        <v>1181</v>
      </c>
      <c r="I139" s="82" t="s">
        <v>1182</v>
      </c>
      <c r="J139" s="60" t="s">
        <v>1183</v>
      </c>
      <c r="K139" s="60"/>
      <c r="L139" s="60"/>
      <c r="M139" s="60"/>
      <c r="N139" s="60"/>
      <c r="O139" s="60"/>
      <c r="P139" s="54"/>
      <c r="Q139" s="75"/>
      <c r="R139" s="75"/>
      <c r="T139" s="56"/>
      <c r="U139" s="57"/>
    </row>
    <row r="140" spans="1:21" x14ac:dyDescent="0.25">
      <c r="A140" s="60" t="s">
        <v>1184</v>
      </c>
      <c r="B140" s="60" t="s">
        <v>300</v>
      </c>
      <c r="C140" s="60" t="s">
        <v>1185</v>
      </c>
      <c r="D140" s="60" t="s">
        <v>1186</v>
      </c>
      <c r="E140" s="60" t="s">
        <v>1187</v>
      </c>
      <c r="F140" s="60"/>
      <c r="G140" s="60">
        <v>53284</v>
      </c>
      <c r="H140" s="82" t="s">
        <v>1188</v>
      </c>
      <c r="I140" s="82" t="s">
        <v>1189</v>
      </c>
      <c r="J140" s="60" t="s">
        <v>1190</v>
      </c>
      <c r="K140" s="60"/>
      <c r="L140" s="60"/>
      <c r="M140" s="60"/>
      <c r="N140" s="60"/>
      <c r="O140" s="60"/>
      <c r="P140" s="54"/>
      <c r="Q140" s="75"/>
      <c r="R140" s="75"/>
      <c r="T140" s="56"/>
      <c r="U140" s="57"/>
    </row>
    <row r="141" spans="1:21" x14ac:dyDescent="0.25">
      <c r="A141" s="60" t="s">
        <v>1191</v>
      </c>
      <c r="B141" s="60" t="s">
        <v>196</v>
      </c>
      <c r="C141" s="60" t="s">
        <v>1192</v>
      </c>
      <c r="D141" s="60" t="s">
        <v>1193</v>
      </c>
      <c r="E141" s="60" t="s">
        <v>1194</v>
      </c>
      <c r="F141" s="60"/>
      <c r="G141" s="60" t="s">
        <v>1195</v>
      </c>
      <c r="H141" s="82" t="s">
        <v>1196</v>
      </c>
      <c r="I141" s="82" t="s">
        <v>1197</v>
      </c>
      <c r="J141" s="60" t="s">
        <v>1198</v>
      </c>
      <c r="K141" s="60"/>
      <c r="L141" s="60"/>
      <c r="M141" s="60"/>
      <c r="N141" s="60"/>
      <c r="O141" s="60"/>
      <c r="P141" s="54"/>
      <c r="Q141" s="75"/>
      <c r="R141" s="75"/>
      <c r="T141" s="56"/>
      <c r="U141" s="57"/>
    </row>
    <row r="142" spans="1:21" x14ac:dyDescent="0.25">
      <c r="A142" s="60" t="s">
        <v>1199</v>
      </c>
      <c r="B142" s="60" t="s">
        <v>178</v>
      </c>
      <c r="C142" s="60" t="s">
        <v>1200</v>
      </c>
      <c r="D142" s="60" t="s">
        <v>1201</v>
      </c>
      <c r="E142" s="60" t="s">
        <v>1046</v>
      </c>
      <c r="F142" s="60" t="s">
        <v>1046</v>
      </c>
      <c r="G142" s="60" t="s">
        <v>1202</v>
      </c>
      <c r="H142" s="82" t="s">
        <v>1203</v>
      </c>
      <c r="I142" s="82" t="s">
        <v>1204</v>
      </c>
      <c r="J142" s="60" t="s">
        <v>1205</v>
      </c>
      <c r="K142" s="60"/>
      <c r="L142" s="60"/>
      <c r="M142" s="60"/>
      <c r="N142" s="60"/>
      <c r="O142" s="60"/>
      <c r="P142" s="54"/>
      <c r="Q142" s="75"/>
      <c r="R142" s="75"/>
      <c r="T142" s="56"/>
      <c r="U142" s="57"/>
    </row>
    <row r="143" spans="1:21" x14ac:dyDescent="0.25">
      <c r="A143" s="60" t="s">
        <v>1206</v>
      </c>
      <c r="B143" s="60" t="s">
        <v>186</v>
      </c>
      <c r="C143" s="60" t="s">
        <v>1207</v>
      </c>
      <c r="D143" s="60" t="s">
        <v>1208</v>
      </c>
      <c r="E143" s="60" t="s">
        <v>1209</v>
      </c>
      <c r="F143" s="60"/>
      <c r="G143" s="60">
        <v>663716</v>
      </c>
      <c r="H143" s="82" t="s">
        <v>1210</v>
      </c>
      <c r="I143" s="82" t="s">
        <v>1211</v>
      </c>
      <c r="J143" s="60" t="s">
        <v>1212</v>
      </c>
      <c r="K143" s="60"/>
      <c r="L143" s="60"/>
      <c r="M143" s="60"/>
      <c r="N143" s="60"/>
      <c r="O143" s="60"/>
      <c r="P143" s="54"/>
      <c r="Q143" s="75"/>
      <c r="R143" s="75"/>
      <c r="T143" s="56"/>
      <c r="U143" s="57"/>
    </row>
    <row r="144" spans="1:21" x14ac:dyDescent="0.25">
      <c r="A144" s="60" t="s">
        <v>1213</v>
      </c>
      <c r="B144" s="60" t="s">
        <v>186</v>
      </c>
      <c r="C144" s="60" t="s">
        <v>1214</v>
      </c>
      <c r="D144" s="60" t="s">
        <v>1215</v>
      </c>
      <c r="E144" s="60" t="s">
        <v>1216</v>
      </c>
      <c r="F144" s="60"/>
      <c r="G144" s="60"/>
      <c r="H144" s="82" t="s">
        <v>1217</v>
      </c>
      <c r="I144" s="82" t="s">
        <v>1218</v>
      </c>
      <c r="J144" s="60" t="s">
        <v>1219</v>
      </c>
      <c r="K144" s="60"/>
      <c r="L144" s="60"/>
      <c r="M144" s="60"/>
      <c r="N144" s="60"/>
      <c r="O144" s="60"/>
      <c r="P144" s="54"/>
      <c r="Q144" s="75"/>
      <c r="R144" s="75"/>
      <c r="T144" s="56"/>
      <c r="U144" s="57"/>
    </row>
    <row r="145" spans="1:21" x14ac:dyDescent="0.25">
      <c r="A145" s="60" t="s">
        <v>1220</v>
      </c>
      <c r="B145" s="60" t="s">
        <v>186</v>
      </c>
      <c r="C145" s="60" t="s">
        <v>1221</v>
      </c>
      <c r="D145" s="60" t="s">
        <v>1222</v>
      </c>
      <c r="E145" s="60" t="s">
        <v>1223</v>
      </c>
      <c r="F145" s="60"/>
      <c r="G145" s="60"/>
      <c r="H145" s="82" t="s">
        <v>1224</v>
      </c>
      <c r="I145" s="82" t="s">
        <v>1225</v>
      </c>
      <c r="J145" s="60" t="s">
        <v>1226</v>
      </c>
      <c r="K145" s="60"/>
      <c r="L145" s="60"/>
      <c r="M145" s="60"/>
      <c r="N145" s="60"/>
      <c r="O145" s="60"/>
      <c r="P145" s="54"/>
      <c r="Q145" s="75"/>
      <c r="R145" s="75"/>
      <c r="T145" s="56"/>
      <c r="U145" s="57"/>
    </row>
    <row r="146" spans="1:21" x14ac:dyDescent="0.25">
      <c r="A146" s="60" t="s">
        <v>1227</v>
      </c>
      <c r="B146" s="60" t="s">
        <v>204</v>
      </c>
      <c r="C146" s="60" t="s">
        <v>1228</v>
      </c>
      <c r="D146" s="60" t="s">
        <v>1229</v>
      </c>
      <c r="E146" s="60" t="s">
        <v>1230</v>
      </c>
      <c r="F146" s="60"/>
      <c r="G146" s="60"/>
      <c r="H146" s="82" t="s">
        <v>1231</v>
      </c>
      <c r="I146" s="82" t="s">
        <v>1232</v>
      </c>
      <c r="J146" s="60" t="s">
        <v>1233</v>
      </c>
      <c r="K146" s="60"/>
      <c r="L146" s="60"/>
      <c r="M146" s="60"/>
      <c r="N146" s="60"/>
      <c r="O146" s="60"/>
      <c r="P146" s="54"/>
      <c r="Q146" s="75"/>
      <c r="R146" s="75"/>
      <c r="T146" s="56"/>
      <c r="U146" s="57"/>
    </row>
    <row r="147" spans="1:21" x14ac:dyDescent="0.25">
      <c r="A147" s="60" t="s">
        <v>1234</v>
      </c>
      <c r="B147" s="60" t="s">
        <v>155</v>
      </c>
      <c r="C147" s="60" t="s">
        <v>1235</v>
      </c>
      <c r="D147" s="60" t="s">
        <v>1236</v>
      </c>
      <c r="E147" s="60" t="s">
        <v>1237</v>
      </c>
      <c r="F147" s="60"/>
      <c r="G147" s="60"/>
      <c r="H147" s="82" t="s">
        <v>1238</v>
      </c>
      <c r="I147" s="82" t="s">
        <v>1239</v>
      </c>
      <c r="J147" s="60" t="s">
        <v>1240</v>
      </c>
      <c r="K147" s="60"/>
      <c r="L147" s="60"/>
      <c r="M147" s="60"/>
      <c r="N147" s="60"/>
      <c r="O147" s="60"/>
      <c r="P147" s="54"/>
      <c r="Q147" s="75"/>
      <c r="R147" s="75"/>
      <c r="T147" s="56"/>
      <c r="U147" s="57"/>
    </row>
    <row r="148" spans="1:21" x14ac:dyDescent="0.25">
      <c r="A148" s="60" t="s">
        <v>1241</v>
      </c>
      <c r="B148" s="60" t="s">
        <v>155</v>
      </c>
      <c r="C148" s="60" t="s">
        <v>1242</v>
      </c>
      <c r="D148" s="60" t="s">
        <v>1243</v>
      </c>
      <c r="E148" s="60" t="s">
        <v>1244</v>
      </c>
      <c r="F148" s="60"/>
      <c r="G148" s="60"/>
      <c r="H148" s="82" t="s">
        <v>1245</v>
      </c>
      <c r="I148" s="82" t="s">
        <v>1246</v>
      </c>
      <c r="J148" s="60" t="s">
        <v>1247</v>
      </c>
      <c r="K148" s="60"/>
      <c r="L148" s="60"/>
      <c r="M148" s="60"/>
      <c r="N148" s="60"/>
      <c r="O148" s="60"/>
      <c r="P148" s="54"/>
      <c r="Q148" s="75"/>
      <c r="R148" s="75"/>
      <c r="T148" s="56"/>
      <c r="U148" s="57"/>
    </row>
    <row r="149" spans="1:21" x14ac:dyDescent="0.25">
      <c r="A149" s="60" t="s">
        <v>1248</v>
      </c>
      <c r="B149" s="60" t="s">
        <v>300</v>
      </c>
      <c r="C149" s="60" t="s">
        <v>1249</v>
      </c>
      <c r="D149" s="60" t="s">
        <v>1250</v>
      </c>
      <c r="E149" s="60" t="s">
        <v>1251</v>
      </c>
      <c r="F149" s="60"/>
      <c r="G149" s="60"/>
      <c r="H149" s="82" t="s">
        <v>1252</v>
      </c>
      <c r="I149" s="82" t="s">
        <v>1253</v>
      </c>
      <c r="J149" s="60" t="s">
        <v>1254</v>
      </c>
      <c r="K149" s="60"/>
      <c r="L149" s="60"/>
      <c r="M149" s="60"/>
      <c r="N149" s="60"/>
      <c r="O149" s="60"/>
      <c r="P149" s="54"/>
      <c r="Q149" s="75"/>
      <c r="R149" s="75"/>
      <c r="T149" s="56"/>
      <c r="U149" s="57"/>
    </row>
    <row r="150" spans="1:21" x14ac:dyDescent="0.25">
      <c r="A150" s="60" t="s">
        <v>1255</v>
      </c>
      <c r="B150" s="60" t="s">
        <v>204</v>
      </c>
      <c r="C150" s="60" t="s">
        <v>1256</v>
      </c>
      <c r="D150" s="60" t="s">
        <v>1257</v>
      </c>
      <c r="E150" s="60" t="s">
        <v>1258</v>
      </c>
      <c r="F150" s="60" t="s">
        <v>678</v>
      </c>
      <c r="G150" s="60" t="s">
        <v>1259</v>
      </c>
      <c r="H150" s="82" t="s">
        <v>1260</v>
      </c>
      <c r="I150" s="82" t="s">
        <v>1261</v>
      </c>
      <c r="J150" s="60" t="s">
        <v>1262</v>
      </c>
      <c r="K150" s="60"/>
      <c r="L150" s="60"/>
      <c r="M150" s="60"/>
      <c r="N150" s="60"/>
      <c r="O150" s="60"/>
      <c r="P150" s="54"/>
      <c r="Q150" s="75"/>
      <c r="R150" s="75"/>
      <c r="T150" s="56"/>
      <c r="U150" s="57"/>
    </row>
    <row r="151" spans="1:21" x14ac:dyDescent="0.25">
      <c r="A151" s="60" t="s">
        <v>1263</v>
      </c>
      <c r="B151" s="60" t="s">
        <v>178</v>
      </c>
      <c r="C151" s="60" t="s">
        <v>1264</v>
      </c>
      <c r="D151" s="60" t="s">
        <v>1265</v>
      </c>
      <c r="E151" s="60" t="s">
        <v>1266</v>
      </c>
      <c r="F151" s="60"/>
      <c r="G151" s="60"/>
      <c r="H151" s="82" t="s">
        <v>1267</v>
      </c>
      <c r="I151" s="82" t="s">
        <v>1268</v>
      </c>
      <c r="J151" s="60" t="s">
        <v>1269</v>
      </c>
      <c r="K151" s="60"/>
      <c r="L151" s="60"/>
      <c r="M151" s="60"/>
      <c r="N151" s="60"/>
      <c r="O151" s="60"/>
      <c r="P151" s="54"/>
      <c r="Q151" s="75"/>
      <c r="R151" s="75"/>
      <c r="T151" s="56"/>
      <c r="U151" s="57"/>
    </row>
    <row r="152" spans="1:21" x14ac:dyDescent="0.25">
      <c r="A152" s="60" t="s">
        <v>1270</v>
      </c>
      <c r="B152" s="60" t="s">
        <v>204</v>
      </c>
      <c r="C152" s="60" t="s">
        <v>1271</v>
      </c>
      <c r="D152" s="60" t="s">
        <v>1272</v>
      </c>
      <c r="E152" s="60" t="s">
        <v>1273</v>
      </c>
      <c r="F152" s="60"/>
      <c r="G152" s="60"/>
      <c r="H152" s="82" t="s">
        <v>1274</v>
      </c>
      <c r="I152" s="82" t="s">
        <v>1275</v>
      </c>
      <c r="J152" s="60" t="s">
        <v>1276</v>
      </c>
      <c r="K152" s="60"/>
      <c r="L152" s="60"/>
      <c r="M152" s="60"/>
      <c r="N152" s="60"/>
      <c r="O152" s="60"/>
      <c r="P152" s="54"/>
      <c r="Q152" s="75"/>
      <c r="R152" s="75"/>
      <c r="T152" s="56"/>
      <c r="U152" s="57"/>
    </row>
    <row r="153" spans="1:21" x14ac:dyDescent="0.25">
      <c r="A153" s="60" t="s">
        <v>1277</v>
      </c>
      <c r="B153" s="60" t="s">
        <v>178</v>
      </c>
      <c r="C153" s="60" t="s">
        <v>1278</v>
      </c>
      <c r="D153" s="60" t="s">
        <v>1279</v>
      </c>
      <c r="E153" s="60" t="s">
        <v>1280</v>
      </c>
      <c r="F153" s="60" t="s">
        <v>1281</v>
      </c>
      <c r="G153" s="60" t="s">
        <v>1282</v>
      </c>
      <c r="H153" s="82" t="s">
        <v>1283</v>
      </c>
      <c r="I153" s="82" t="s">
        <v>1284</v>
      </c>
      <c r="J153" s="60" t="s">
        <v>1285</v>
      </c>
      <c r="K153" s="60"/>
      <c r="L153" s="60"/>
      <c r="M153" s="60"/>
      <c r="N153" s="60"/>
      <c r="O153" s="60"/>
      <c r="P153" s="54"/>
      <c r="Q153" s="75"/>
      <c r="R153" s="75"/>
      <c r="T153" s="56"/>
      <c r="U153" s="57"/>
    </row>
    <row r="154" spans="1:21" x14ac:dyDescent="0.25">
      <c r="A154" s="60" t="s">
        <v>1286</v>
      </c>
      <c r="B154" s="60" t="s">
        <v>186</v>
      </c>
      <c r="C154" s="60" t="s">
        <v>1287</v>
      </c>
      <c r="D154" s="60" t="s">
        <v>1288</v>
      </c>
      <c r="E154" s="60" t="s">
        <v>1289</v>
      </c>
      <c r="F154" s="60" t="s">
        <v>1290</v>
      </c>
      <c r="G154" s="60" t="s">
        <v>1291</v>
      </c>
      <c r="H154" s="82" t="s">
        <v>1292</v>
      </c>
      <c r="I154" s="82" t="s">
        <v>1293</v>
      </c>
      <c r="J154" s="60" t="s">
        <v>1294</v>
      </c>
      <c r="K154" s="60"/>
      <c r="L154" s="60"/>
      <c r="M154" s="60"/>
      <c r="N154" s="60"/>
      <c r="O154" s="60"/>
      <c r="P154" s="54"/>
      <c r="Q154" s="75"/>
      <c r="R154" s="75"/>
      <c r="T154" s="56"/>
      <c r="U154" s="57"/>
    </row>
    <row r="155" spans="1:21" x14ac:dyDescent="0.25">
      <c r="A155" s="60" t="s">
        <v>1295</v>
      </c>
      <c r="B155" s="60" t="s">
        <v>155</v>
      </c>
      <c r="C155" s="60" t="s">
        <v>1296</v>
      </c>
      <c r="D155" s="60" t="s">
        <v>1297</v>
      </c>
      <c r="E155" s="60" t="s">
        <v>1298</v>
      </c>
      <c r="F155" s="60"/>
      <c r="G155" s="60"/>
      <c r="H155" s="82" t="s">
        <v>1299</v>
      </c>
      <c r="I155" s="82" t="s">
        <v>1300</v>
      </c>
      <c r="J155" s="60" t="s">
        <v>1301</v>
      </c>
      <c r="K155" s="60"/>
      <c r="L155" s="60"/>
      <c r="M155" s="60"/>
      <c r="N155" s="60"/>
      <c r="O155" s="60"/>
      <c r="P155" s="54"/>
      <c r="Q155" s="75"/>
      <c r="R155" s="75"/>
      <c r="T155" s="56"/>
      <c r="U155" s="57"/>
    </row>
    <row r="156" spans="1:21" x14ac:dyDescent="0.25">
      <c r="A156" s="60" t="s">
        <v>1302</v>
      </c>
      <c r="B156" s="60" t="s">
        <v>178</v>
      </c>
      <c r="C156" s="60" t="s">
        <v>1303</v>
      </c>
      <c r="D156" s="60" t="s">
        <v>1304</v>
      </c>
      <c r="E156" s="60" t="s">
        <v>1305</v>
      </c>
      <c r="F156" s="60"/>
      <c r="G156" s="60" t="s">
        <v>1306</v>
      </c>
      <c r="H156" s="82" t="s">
        <v>1307</v>
      </c>
      <c r="I156" s="82" t="s">
        <v>1308</v>
      </c>
      <c r="J156" s="60" t="s">
        <v>1309</v>
      </c>
      <c r="K156" s="60"/>
      <c r="L156" s="60"/>
      <c r="M156" s="60"/>
      <c r="N156" s="60"/>
      <c r="O156" s="60"/>
      <c r="P156" s="54"/>
      <c r="Q156" s="75"/>
      <c r="R156" s="75"/>
      <c r="T156" s="56"/>
      <c r="U156" s="57"/>
    </row>
    <row r="157" spans="1:21" x14ac:dyDescent="0.25">
      <c r="A157" s="60" t="s">
        <v>1310</v>
      </c>
      <c r="B157" s="60" t="s">
        <v>300</v>
      </c>
      <c r="C157" s="60" t="s">
        <v>1311</v>
      </c>
      <c r="D157" s="60" t="s">
        <v>1312</v>
      </c>
      <c r="E157" s="60" t="s">
        <v>1313</v>
      </c>
      <c r="F157" s="60"/>
      <c r="G157" s="60">
        <v>46110</v>
      </c>
      <c r="H157" s="82" t="s">
        <v>1314</v>
      </c>
      <c r="I157" s="82" t="s">
        <v>1315</v>
      </c>
      <c r="J157" s="60" t="s">
        <v>1316</v>
      </c>
      <c r="K157" s="60"/>
      <c r="L157" s="60"/>
      <c r="M157" s="60"/>
      <c r="N157" s="60"/>
      <c r="O157" s="60"/>
      <c r="P157" s="54"/>
      <c r="Q157" s="75"/>
      <c r="R157" s="75"/>
      <c r="T157" s="56"/>
      <c r="U157" s="57"/>
    </row>
    <row r="158" spans="1:21" x14ac:dyDescent="0.25">
      <c r="A158" s="61" t="s">
        <v>1317</v>
      </c>
      <c r="B158" s="60" t="s">
        <v>186</v>
      </c>
      <c r="C158" s="60" t="s">
        <v>1318</v>
      </c>
      <c r="D158" s="61" t="s">
        <v>1319</v>
      </c>
      <c r="E158" s="61" t="s">
        <v>1320</v>
      </c>
      <c r="F158" s="61"/>
      <c r="G158" s="61"/>
      <c r="H158" s="78" t="s">
        <v>1321</v>
      </c>
      <c r="I158" s="78" t="s">
        <v>1322</v>
      </c>
      <c r="J158" s="61" t="s">
        <v>1323</v>
      </c>
      <c r="K158" s="61"/>
      <c r="L158" s="61"/>
      <c r="M158" s="61"/>
      <c r="N158" s="61"/>
      <c r="O158" s="61"/>
      <c r="P158" s="61"/>
      <c r="Q158" s="69"/>
      <c r="R158" s="69"/>
      <c r="T158" s="56"/>
      <c r="U158" s="57"/>
    </row>
    <row r="159" spans="1:21" x14ac:dyDescent="0.25">
      <c r="A159" s="61" t="s">
        <v>1324</v>
      </c>
      <c r="B159" s="60" t="s">
        <v>186</v>
      </c>
      <c r="C159" s="60" t="s">
        <v>1325</v>
      </c>
      <c r="D159" s="61" t="s">
        <v>1326</v>
      </c>
      <c r="E159" s="61" t="s">
        <v>1327</v>
      </c>
      <c r="F159" s="61"/>
      <c r="G159" s="61"/>
      <c r="H159" s="78" t="s">
        <v>1328</v>
      </c>
      <c r="I159" s="78" t="s">
        <v>1329</v>
      </c>
      <c r="J159" s="61" t="s">
        <v>1330</v>
      </c>
      <c r="K159" s="59"/>
      <c r="L159" s="61"/>
      <c r="M159" s="61"/>
      <c r="N159" s="61"/>
      <c r="O159" s="61"/>
      <c r="P159" s="61"/>
      <c r="Q159" s="69"/>
      <c r="R159" s="69"/>
      <c r="T159" s="56"/>
      <c r="U159" s="57"/>
    </row>
    <row r="160" spans="1:21" x14ac:dyDescent="0.25">
      <c r="A160" s="59" t="s">
        <v>1331</v>
      </c>
      <c r="B160" s="54" t="s">
        <v>155</v>
      </c>
      <c r="C160" s="54" t="s">
        <v>1332</v>
      </c>
      <c r="D160" s="59" t="s">
        <v>1333</v>
      </c>
      <c r="E160" s="59" t="s">
        <v>1334</v>
      </c>
      <c r="F160" s="59" t="s">
        <v>340</v>
      </c>
      <c r="G160" s="59">
        <v>33661</v>
      </c>
      <c r="H160" s="77" t="s">
        <v>1335</v>
      </c>
      <c r="I160" s="77" t="s">
        <v>1336</v>
      </c>
      <c r="J160" s="59" t="s">
        <v>1337</v>
      </c>
      <c r="K160" s="59"/>
      <c r="L160" s="59"/>
      <c r="M160" s="59"/>
      <c r="N160" s="59"/>
      <c r="O160" s="59"/>
      <c r="P160" s="59"/>
      <c r="Q160" s="72"/>
      <c r="R160" s="72"/>
      <c r="T160" s="56"/>
      <c r="U160" s="57"/>
    </row>
    <row r="161" spans="1:21" x14ac:dyDescent="0.25">
      <c r="A161" s="59" t="s">
        <v>1338</v>
      </c>
      <c r="B161" s="54" t="s">
        <v>186</v>
      </c>
      <c r="C161" s="54" t="s">
        <v>1339</v>
      </c>
      <c r="D161" s="59" t="s">
        <v>1340</v>
      </c>
      <c r="E161" s="59" t="s">
        <v>1341</v>
      </c>
      <c r="F161" s="59"/>
      <c r="G161" s="59"/>
      <c r="H161" s="77" t="s">
        <v>1342</v>
      </c>
      <c r="I161" s="77" t="s">
        <v>1343</v>
      </c>
      <c r="J161" s="59" t="s">
        <v>1344</v>
      </c>
      <c r="K161" s="59"/>
      <c r="L161" s="59"/>
      <c r="M161" s="59"/>
      <c r="N161" s="59"/>
      <c r="O161" s="59"/>
      <c r="P161" s="59"/>
      <c r="Q161" s="72"/>
      <c r="R161" s="72"/>
      <c r="T161" s="56"/>
      <c r="U161" s="57"/>
    </row>
    <row r="162" spans="1:21" x14ac:dyDescent="0.25">
      <c r="A162" s="59" t="s">
        <v>1345</v>
      </c>
      <c r="B162" s="54" t="s">
        <v>178</v>
      </c>
      <c r="C162" s="54" t="s">
        <v>1346</v>
      </c>
      <c r="D162" s="59" t="s">
        <v>1347</v>
      </c>
      <c r="E162" s="59" t="s">
        <v>1348</v>
      </c>
      <c r="F162" s="59"/>
      <c r="G162" s="59"/>
      <c r="H162" s="77" t="s">
        <v>1349</v>
      </c>
      <c r="I162" s="77" t="s">
        <v>1350</v>
      </c>
      <c r="J162" s="59" t="s">
        <v>1351</v>
      </c>
      <c r="K162" s="59"/>
      <c r="L162" s="59"/>
      <c r="M162" s="59"/>
      <c r="N162" s="59"/>
      <c r="O162" s="59"/>
      <c r="P162" s="59"/>
      <c r="Q162" s="72"/>
      <c r="R162" s="72"/>
      <c r="T162" s="56"/>
      <c r="U162" s="57"/>
    </row>
    <row r="163" spans="1:21" x14ac:dyDescent="0.25">
      <c r="A163" s="59" t="s">
        <v>1352</v>
      </c>
      <c r="B163" s="54" t="s">
        <v>155</v>
      </c>
      <c r="C163" s="54" t="s">
        <v>1353</v>
      </c>
      <c r="D163" s="59" t="s">
        <v>1354</v>
      </c>
      <c r="E163" s="59" t="s">
        <v>1355</v>
      </c>
      <c r="F163" s="59"/>
      <c r="G163" s="59"/>
      <c r="H163" s="77" t="s">
        <v>1356</v>
      </c>
      <c r="I163" s="77" t="s">
        <v>1357</v>
      </c>
      <c r="J163" s="59" t="s">
        <v>1358</v>
      </c>
      <c r="K163" s="59"/>
      <c r="L163" s="59"/>
      <c r="M163" s="59"/>
      <c r="N163" s="59"/>
      <c r="O163" s="59"/>
      <c r="P163" s="59"/>
      <c r="Q163" s="72"/>
      <c r="R163" s="72"/>
      <c r="T163" s="56"/>
      <c r="U163" s="57"/>
    </row>
    <row r="164" spans="1:21" x14ac:dyDescent="0.25">
      <c r="A164" s="59" t="s">
        <v>1359</v>
      </c>
      <c r="B164" s="54" t="s">
        <v>186</v>
      </c>
      <c r="C164" s="54" t="s">
        <v>1360</v>
      </c>
      <c r="D164" s="59" t="s">
        <v>1361</v>
      </c>
      <c r="E164" s="59" t="s">
        <v>1362</v>
      </c>
      <c r="F164" s="59"/>
      <c r="G164" s="59"/>
      <c r="H164" s="77" t="s">
        <v>1363</v>
      </c>
      <c r="I164" s="77" t="s">
        <v>1364</v>
      </c>
      <c r="J164" s="59" t="s">
        <v>1365</v>
      </c>
      <c r="K164" s="59"/>
      <c r="L164" s="59"/>
      <c r="M164" s="59"/>
      <c r="N164" s="59"/>
      <c r="O164" s="59"/>
      <c r="P164" s="59"/>
      <c r="Q164" s="72"/>
      <c r="R164" s="72"/>
      <c r="T164" s="56"/>
      <c r="U164" s="57"/>
    </row>
    <row r="165" spans="1:21" x14ac:dyDescent="0.25">
      <c r="A165" s="59" t="s">
        <v>1366</v>
      </c>
      <c r="B165" s="54" t="s">
        <v>300</v>
      </c>
      <c r="C165" s="54" t="s">
        <v>1367</v>
      </c>
      <c r="D165" s="59" t="s">
        <v>1368</v>
      </c>
      <c r="E165" s="59" t="s">
        <v>1369</v>
      </c>
      <c r="F165" s="59"/>
      <c r="G165" s="59"/>
      <c r="H165" s="77" t="s">
        <v>1370</v>
      </c>
      <c r="I165" s="77" t="s">
        <v>1371</v>
      </c>
      <c r="J165" s="59" t="s">
        <v>1372</v>
      </c>
      <c r="K165" s="59"/>
      <c r="L165" s="59"/>
      <c r="M165" s="59"/>
      <c r="N165" s="59"/>
      <c r="O165" s="59"/>
      <c r="P165" s="59"/>
      <c r="Q165" s="72"/>
      <c r="R165" s="72"/>
      <c r="T165" s="56"/>
      <c r="U165" s="57"/>
    </row>
    <row r="166" spans="1:21" x14ac:dyDescent="0.25">
      <c r="A166" s="59" t="s">
        <v>1373</v>
      </c>
      <c r="B166" s="54" t="s">
        <v>155</v>
      </c>
      <c r="C166" s="54" t="s">
        <v>1374</v>
      </c>
      <c r="D166" s="59" t="s">
        <v>1375</v>
      </c>
      <c r="E166" s="59" t="s">
        <v>1376</v>
      </c>
      <c r="F166" s="59"/>
      <c r="G166" s="59">
        <v>6491</v>
      </c>
      <c r="H166" s="77" t="s">
        <v>1377</v>
      </c>
      <c r="I166" s="77" t="s">
        <v>1378</v>
      </c>
      <c r="J166" s="59" t="s">
        <v>1379</v>
      </c>
      <c r="K166" s="59"/>
      <c r="L166" s="59"/>
      <c r="M166" s="59"/>
      <c r="N166" s="59"/>
      <c r="O166" s="59"/>
      <c r="P166" s="59"/>
      <c r="Q166" s="72"/>
      <c r="R166" s="72"/>
      <c r="T166" s="56"/>
      <c r="U166" s="57"/>
    </row>
    <row r="167" spans="1:21" x14ac:dyDescent="0.25">
      <c r="A167" s="59" t="s">
        <v>1380</v>
      </c>
      <c r="B167" s="54" t="s">
        <v>204</v>
      </c>
      <c r="C167" s="54" t="s">
        <v>1381</v>
      </c>
      <c r="D167" s="59" t="s">
        <v>1382</v>
      </c>
      <c r="E167" s="59" t="s">
        <v>1383</v>
      </c>
      <c r="F167" s="59"/>
      <c r="G167" s="59"/>
      <c r="H167" s="77" t="s">
        <v>1384</v>
      </c>
      <c r="I167" s="77" t="s">
        <v>1385</v>
      </c>
      <c r="J167" s="59" t="s">
        <v>1386</v>
      </c>
      <c r="K167" s="59"/>
      <c r="L167" s="59"/>
      <c r="M167" s="59"/>
      <c r="N167" s="59"/>
      <c r="O167" s="59"/>
      <c r="P167" s="59"/>
      <c r="Q167" s="72"/>
      <c r="R167" s="72"/>
      <c r="T167" s="56"/>
      <c r="U167" s="57"/>
    </row>
    <row r="168" spans="1:21" x14ac:dyDescent="0.25">
      <c r="A168" s="59" t="s">
        <v>1387</v>
      </c>
      <c r="B168" s="54" t="s">
        <v>300</v>
      </c>
      <c r="C168" s="54" t="s">
        <v>1388</v>
      </c>
      <c r="D168" s="59" t="s">
        <v>1389</v>
      </c>
      <c r="E168" s="59" t="s">
        <v>1390</v>
      </c>
      <c r="F168" s="59"/>
      <c r="G168" s="59">
        <v>4323</v>
      </c>
      <c r="H168" s="77" t="s">
        <v>1391</v>
      </c>
      <c r="I168" s="77" t="s">
        <v>1392</v>
      </c>
      <c r="J168" s="59" t="s">
        <v>1393</v>
      </c>
      <c r="K168" s="59"/>
      <c r="L168" s="59"/>
      <c r="M168" s="59"/>
      <c r="N168" s="59"/>
      <c r="O168" s="59"/>
      <c r="P168" s="59"/>
      <c r="Q168" s="72"/>
      <c r="R168" s="72"/>
      <c r="T168" s="56"/>
      <c r="U168" s="57"/>
    </row>
    <row r="169" spans="1:21" x14ac:dyDescent="0.25">
      <c r="A169" s="59" t="s">
        <v>1394</v>
      </c>
      <c r="B169" s="54" t="s">
        <v>155</v>
      </c>
      <c r="C169" s="54" t="s">
        <v>1395</v>
      </c>
      <c r="D169" s="59" t="s">
        <v>1396</v>
      </c>
      <c r="E169" s="59" t="s">
        <v>1397</v>
      </c>
      <c r="F169" s="59"/>
      <c r="G169" s="59"/>
      <c r="H169" s="77" t="s">
        <v>1398</v>
      </c>
      <c r="I169" s="77" t="s">
        <v>1399</v>
      </c>
      <c r="J169" s="59" t="s">
        <v>1400</v>
      </c>
      <c r="K169" s="59"/>
      <c r="L169" s="59"/>
      <c r="M169" s="59"/>
      <c r="N169" s="59"/>
      <c r="O169" s="59"/>
      <c r="P169" s="59"/>
      <c r="Q169" s="72"/>
      <c r="R169" s="72"/>
      <c r="T169" s="56"/>
      <c r="U169" s="57"/>
    </row>
    <row r="170" spans="1:21" x14ac:dyDescent="0.25">
      <c r="A170" s="59" t="s">
        <v>1401</v>
      </c>
      <c r="B170" s="54" t="s">
        <v>204</v>
      </c>
      <c r="C170" s="54" t="s">
        <v>1402</v>
      </c>
      <c r="D170" s="59" t="s">
        <v>1403</v>
      </c>
      <c r="E170" s="59" t="s">
        <v>1404</v>
      </c>
      <c r="F170" s="59" t="s">
        <v>1405</v>
      </c>
      <c r="G170" s="59" t="s">
        <v>1406</v>
      </c>
      <c r="H170" s="77" t="s">
        <v>1407</v>
      </c>
      <c r="I170" s="77" t="s">
        <v>1408</v>
      </c>
      <c r="J170" s="59" t="s">
        <v>1409</v>
      </c>
      <c r="K170" s="59"/>
      <c r="L170" s="59"/>
      <c r="M170" s="59"/>
      <c r="N170" s="59"/>
      <c r="O170" s="59"/>
      <c r="P170" s="59"/>
      <c r="Q170" s="72"/>
      <c r="R170" s="72"/>
      <c r="T170" s="56"/>
      <c r="U170" s="57"/>
    </row>
    <row r="171" spans="1:21" x14ac:dyDescent="0.25">
      <c r="A171" s="59" t="s">
        <v>1410</v>
      </c>
      <c r="B171" s="54" t="s">
        <v>155</v>
      </c>
      <c r="C171" s="54" t="s">
        <v>1411</v>
      </c>
      <c r="D171" s="59" t="s">
        <v>1412</v>
      </c>
      <c r="E171" s="59" t="s">
        <v>1413</v>
      </c>
      <c r="F171" s="59"/>
      <c r="G171" s="59">
        <v>1110</v>
      </c>
      <c r="H171" s="77" t="s">
        <v>1414</v>
      </c>
      <c r="I171" s="77" t="s">
        <v>1415</v>
      </c>
      <c r="J171" s="59" t="s">
        <v>1416</v>
      </c>
      <c r="K171" s="59"/>
      <c r="L171" s="59"/>
      <c r="M171" s="59"/>
      <c r="N171" s="59"/>
      <c r="O171" s="59"/>
      <c r="P171" s="59"/>
      <c r="Q171" s="72"/>
      <c r="R171" s="72"/>
      <c r="T171" s="56"/>
      <c r="U171" s="57"/>
    </row>
    <row r="172" spans="1:21" x14ac:dyDescent="0.25">
      <c r="A172" s="59" t="s">
        <v>1417</v>
      </c>
      <c r="B172" s="54" t="s">
        <v>300</v>
      </c>
      <c r="C172" s="54" t="s">
        <v>1418</v>
      </c>
      <c r="D172" s="59" t="s">
        <v>1419</v>
      </c>
      <c r="E172" s="59" t="s">
        <v>1420</v>
      </c>
      <c r="F172" s="59"/>
      <c r="G172" s="59"/>
      <c r="H172" s="77" t="s">
        <v>1421</v>
      </c>
      <c r="I172" s="77" t="s">
        <v>1422</v>
      </c>
      <c r="J172" s="59" t="s">
        <v>1423</v>
      </c>
      <c r="K172" s="59"/>
      <c r="L172" s="59"/>
      <c r="M172" s="59"/>
      <c r="N172" s="59"/>
      <c r="O172" s="59"/>
      <c r="P172" s="59"/>
      <c r="Q172" s="72"/>
      <c r="R172" s="72"/>
      <c r="T172" s="56"/>
      <c r="U172" s="57"/>
    </row>
    <row r="173" spans="1:21" x14ac:dyDescent="0.25">
      <c r="A173" s="59" t="s">
        <v>1424</v>
      </c>
      <c r="B173" s="54" t="s">
        <v>178</v>
      </c>
      <c r="C173" s="54" t="s">
        <v>1425</v>
      </c>
      <c r="D173" s="59" t="s">
        <v>1426</v>
      </c>
      <c r="E173" s="59" t="s">
        <v>1427</v>
      </c>
      <c r="F173" s="59"/>
      <c r="G173" s="59"/>
      <c r="H173" s="77" t="s">
        <v>1428</v>
      </c>
      <c r="I173" s="77" t="s">
        <v>1429</v>
      </c>
      <c r="J173" s="59" t="s">
        <v>1430</v>
      </c>
      <c r="K173" s="59"/>
      <c r="L173" s="59"/>
      <c r="M173" s="59"/>
      <c r="N173" s="59"/>
      <c r="O173" s="59"/>
      <c r="P173" s="59"/>
      <c r="Q173" s="72"/>
      <c r="R173" s="72"/>
      <c r="T173" s="56"/>
      <c r="U173" s="57"/>
    </row>
    <row r="174" spans="1:21" x14ac:dyDescent="0.25">
      <c r="A174" s="59" t="s">
        <v>1431</v>
      </c>
      <c r="B174" s="54" t="s">
        <v>196</v>
      </c>
      <c r="C174" s="54" t="s">
        <v>1432</v>
      </c>
      <c r="D174" s="59" t="s">
        <v>1433</v>
      </c>
      <c r="E174" s="59" t="s">
        <v>1434</v>
      </c>
      <c r="F174" s="59"/>
      <c r="G174" s="59"/>
      <c r="H174" s="77" t="s">
        <v>1435</v>
      </c>
      <c r="I174" s="77" t="s">
        <v>1436</v>
      </c>
      <c r="J174" s="59" t="s">
        <v>1437</v>
      </c>
      <c r="K174" s="59"/>
      <c r="L174" s="59"/>
      <c r="M174" s="59"/>
      <c r="N174" s="59"/>
      <c r="O174" s="59"/>
      <c r="P174" s="59"/>
      <c r="Q174" s="72"/>
      <c r="R174" s="72"/>
      <c r="T174" s="56"/>
      <c r="U174" s="57"/>
    </row>
    <row r="175" spans="1:21" x14ac:dyDescent="0.25">
      <c r="A175" s="59" t="s">
        <v>1438</v>
      </c>
      <c r="B175" s="54" t="s">
        <v>300</v>
      </c>
      <c r="C175" s="54" t="s">
        <v>1439</v>
      </c>
      <c r="D175" s="59" t="s">
        <v>1440</v>
      </c>
      <c r="E175" s="59" t="s">
        <v>1441</v>
      </c>
      <c r="F175" s="59"/>
      <c r="G175" s="59"/>
      <c r="H175" s="77" t="s">
        <v>1442</v>
      </c>
      <c r="I175" s="77" t="s">
        <v>1443</v>
      </c>
      <c r="J175" s="59" t="s">
        <v>1444</v>
      </c>
      <c r="K175" s="59"/>
      <c r="L175" s="59"/>
      <c r="M175" s="59"/>
      <c r="N175" s="59"/>
      <c r="O175" s="59"/>
      <c r="P175" s="59"/>
      <c r="Q175" s="72"/>
      <c r="R175" s="72"/>
      <c r="T175" s="56"/>
      <c r="U175" s="57"/>
    </row>
    <row r="176" spans="1:21" x14ac:dyDescent="0.25">
      <c r="A176" s="59" t="s">
        <v>1445</v>
      </c>
      <c r="B176" s="54" t="s">
        <v>300</v>
      </c>
      <c r="C176" s="54" t="s">
        <v>1446</v>
      </c>
      <c r="D176" s="59" t="s">
        <v>1447</v>
      </c>
      <c r="E176" s="59" t="s">
        <v>1448</v>
      </c>
      <c r="F176" s="59"/>
      <c r="G176" s="59">
        <v>4380</v>
      </c>
      <c r="H176" s="77" t="s">
        <v>1449</v>
      </c>
      <c r="I176" s="77" t="s">
        <v>1450</v>
      </c>
      <c r="J176" s="59" t="s">
        <v>1451</v>
      </c>
      <c r="K176" s="59"/>
      <c r="L176" s="59"/>
      <c r="M176" s="59"/>
      <c r="N176" s="59"/>
      <c r="O176" s="59"/>
      <c r="P176" s="59"/>
      <c r="Q176" s="72"/>
      <c r="R176" s="72"/>
      <c r="T176" s="56"/>
      <c r="U176" s="57"/>
    </row>
    <row r="177" spans="1:21" x14ac:dyDescent="0.25">
      <c r="A177" s="59" t="s">
        <v>1452</v>
      </c>
      <c r="B177" s="54" t="s">
        <v>300</v>
      </c>
      <c r="C177" s="54" t="s">
        <v>1453</v>
      </c>
      <c r="D177" s="59" t="s">
        <v>1454</v>
      </c>
      <c r="E177" s="59" t="s">
        <v>1455</v>
      </c>
      <c r="F177" s="59"/>
      <c r="G177" s="59"/>
      <c r="H177" s="77" t="s">
        <v>1456</v>
      </c>
      <c r="I177" s="77" t="s">
        <v>1457</v>
      </c>
      <c r="J177" s="59" t="s">
        <v>1458</v>
      </c>
      <c r="K177" s="59"/>
      <c r="L177" s="59"/>
      <c r="M177" s="59"/>
      <c r="N177" s="59"/>
      <c r="O177" s="59"/>
      <c r="P177" s="59"/>
      <c r="Q177" s="72"/>
      <c r="R177" s="72"/>
      <c r="T177" s="56"/>
      <c r="U177" s="57"/>
    </row>
    <row r="178" spans="1:21" x14ac:dyDescent="0.25">
      <c r="A178" s="59" t="s">
        <v>1459</v>
      </c>
      <c r="B178" s="54" t="s">
        <v>196</v>
      </c>
      <c r="C178" s="54" t="s">
        <v>1460</v>
      </c>
      <c r="D178" s="59" t="s">
        <v>1461</v>
      </c>
      <c r="E178" s="59" t="s">
        <v>1462</v>
      </c>
      <c r="F178" s="59"/>
      <c r="G178" s="59">
        <v>162400</v>
      </c>
      <c r="H178" s="77" t="s">
        <v>1463</v>
      </c>
      <c r="I178" s="77" t="s">
        <v>1464</v>
      </c>
      <c r="J178" s="59" t="s">
        <v>1465</v>
      </c>
      <c r="K178" s="59"/>
      <c r="L178" s="59"/>
      <c r="M178" s="59"/>
      <c r="N178" s="59"/>
      <c r="O178" s="59"/>
      <c r="P178" s="59"/>
      <c r="Q178" s="72"/>
      <c r="R178" s="72"/>
      <c r="T178" s="56"/>
      <c r="U178" s="57"/>
    </row>
    <row r="179" spans="1:21" x14ac:dyDescent="0.25">
      <c r="A179" s="59" t="s">
        <v>1466</v>
      </c>
      <c r="B179" s="54" t="s">
        <v>204</v>
      </c>
      <c r="C179" s="54" t="s">
        <v>1467</v>
      </c>
      <c r="D179" s="59" t="s">
        <v>1468</v>
      </c>
      <c r="E179" s="59" t="s">
        <v>1469</v>
      </c>
      <c r="F179" s="59"/>
      <c r="G179" s="59"/>
      <c r="H179" s="77" t="s">
        <v>1470</v>
      </c>
      <c r="I179" s="77" t="s">
        <v>1471</v>
      </c>
      <c r="J179" s="59" t="s">
        <v>1472</v>
      </c>
      <c r="K179" s="59"/>
      <c r="L179" s="59"/>
      <c r="M179" s="59"/>
      <c r="N179" s="59"/>
      <c r="O179" s="59"/>
      <c r="P179" s="59"/>
      <c r="Q179" s="72"/>
      <c r="R179" s="72"/>
      <c r="T179" s="56"/>
      <c r="U179" s="57"/>
    </row>
    <row r="180" spans="1:21" x14ac:dyDescent="0.25">
      <c r="A180" s="59" t="s">
        <v>1473</v>
      </c>
      <c r="B180" s="54" t="s">
        <v>300</v>
      </c>
      <c r="C180" s="54" t="s">
        <v>1474</v>
      </c>
      <c r="D180" s="59" t="s">
        <v>1475</v>
      </c>
      <c r="E180" s="59" t="s">
        <v>1476</v>
      </c>
      <c r="F180" s="59" t="s">
        <v>1476</v>
      </c>
      <c r="G180" s="59">
        <v>760</v>
      </c>
      <c r="H180" s="77" t="s">
        <v>1477</v>
      </c>
      <c r="I180" s="77" t="s">
        <v>1478</v>
      </c>
      <c r="J180" s="59" t="s">
        <v>1479</v>
      </c>
      <c r="K180" s="59"/>
      <c r="L180" s="59"/>
      <c r="M180" s="59"/>
      <c r="N180" s="59"/>
      <c r="O180" s="59"/>
      <c r="P180" s="59"/>
      <c r="Q180" s="72"/>
      <c r="R180" s="72"/>
      <c r="T180" s="56"/>
      <c r="U180" s="57"/>
    </row>
    <row r="181" spans="1:21" x14ac:dyDescent="0.25">
      <c r="A181" s="59" t="s">
        <v>1480</v>
      </c>
      <c r="B181" s="54" t="s">
        <v>196</v>
      </c>
      <c r="C181" s="54" t="s">
        <v>1481</v>
      </c>
      <c r="D181" s="59" t="s">
        <v>1482</v>
      </c>
      <c r="E181" s="59" t="s">
        <v>1483</v>
      </c>
      <c r="F181" s="59"/>
      <c r="G181" s="59" t="s">
        <v>1484</v>
      </c>
      <c r="H181" s="77" t="s">
        <v>1485</v>
      </c>
      <c r="I181" s="77" t="s">
        <v>1486</v>
      </c>
      <c r="J181" s="59" t="s">
        <v>1487</v>
      </c>
      <c r="K181" s="59"/>
      <c r="L181" s="59"/>
      <c r="M181" s="59"/>
      <c r="N181" s="59"/>
      <c r="O181" s="59"/>
      <c r="P181" s="59"/>
      <c r="Q181" s="72"/>
      <c r="R181" s="72"/>
      <c r="T181" s="56"/>
      <c r="U181" s="57"/>
    </row>
    <row r="182" spans="1:21" x14ac:dyDescent="0.25">
      <c r="A182" s="59" t="s">
        <v>1488</v>
      </c>
      <c r="B182" s="54" t="s">
        <v>155</v>
      </c>
      <c r="C182" s="54" t="s">
        <v>1489</v>
      </c>
      <c r="D182" s="59" t="s">
        <v>1490</v>
      </c>
      <c r="E182" s="59" t="s">
        <v>1491</v>
      </c>
      <c r="F182" s="59" t="s">
        <v>363</v>
      </c>
      <c r="G182" s="59" t="s">
        <v>1492</v>
      </c>
      <c r="H182" s="77" t="s">
        <v>1493</v>
      </c>
      <c r="I182" s="77" t="s">
        <v>1494</v>
      </c>
      <c r="J182" s="59" t="s">
        <v>1495</v>
      </c>
      <c r="K182" s="59"/>
      <c r="L182" s="59"/>
      <c r="M182" s="59"/>
      <c r="N182" s="59"/>
      <c r="O182" s="59"/>
      <c r="P182" s="59"/>
      <c r="Q182" s="72"/>
      <c r="R182" s="72"/>
      <c r="T182" s="56"/>
      <c r="U182" s="57"/>
    </row>
    <row r="183" spans="1:21" x14ac:dyDescent="0.25">
      <c r="A183" s="59" t="s">
        <v>1496</v>
      </c>
      <c r="B183" s="54" t="s">
        <v>196</v>
      </c>
      <c r="C183" s="54" t="s">
        <v>1497</v>
      </c>
      <c r="D183" s="59" t="s">
        <v>1498</v>
      </c>
      <c r="E183" s="59" t="s">
        <v>1499</v>
      </c>
      <c r="F183" s="59" t="s">
        <v>1083</v>
      </c>
      <c r="G183" s="59">
        <v>1906</v>
      </c>
      <c r="H183" s="77" t="s">
        <v>1500</v>
      </c>
      <c r="I183" s="77" t="s">
        <v>1501</v>
      </c>
      <c r="J183" s="59" t="s">
        <v>1502</v>
      </c>
      <c r="K183" s="59"/>
      <c r="L183" s="59"/>
      <c r="M183" s="59"/>
      <c r="N183" s="59"/>
      <c r="O183" s="59"/>
      <c r="P183" s="59"/>
      <c r="Q183" s="72"/>
      <c r="R183" s="72"/>
      <c r="T183" s="56"/>
      <c r="U183" s="57"/>
    </row>
    <row r="184" spans="1:21" x14ac:dyDescent="0.25">
      <c r="A184" s="59" t="s">
        <v>1503</v>
      </c>
      <c r="B184" s="54" t="s">
        <v>196</v>
      </c>
      <c r="C184" s="54" t="s">
        <v>1504</v>
      </c>
      <c r="D184" s="59" t="s">
        <v>1505</v>
      </c>
      <c r="E184" s="59" t="s">
        <v>1506</v>
      </c>
      <c r="F184" s="59"/>
      <c r="G184" s="59">
        <v>2446</v>
      </c>
      <c r="H184" s="77" t="s">
        <v>1507</v>
      </c>
      <c r="I184" s="77" t="s">
        <v>1508</v>
      </c>
      <c r="J184" s="59" t="s">
        <v>1509</v>
      </c>
      <c r="K184" s="59"/>
      <c r="L184" s="59"/>
      <c r="M184" s="59"/>
      <c r="N184" s="59"/>
      <c r="O184" s="59"/>
      <c r="P184" s="59"/>
      <c r="Q184" s="72"/>
      <c r="R184" s="72"/>
      <c r="T184" s="56"/>
      <c r="U184" s="57"/>
    </row>
    <row r="185" spans="1:21" x14ac:dyDescent="0.25">
      <c r="A185" s="59" t="s">
        <v>1510</v>
      </c>
      <c r="B185" s="54" t="s">
        <v>300</v>
      </c>
      <c r="C185" s="54" t="s">
        <v>1511</v>
      </c>
      <c r="D185" s="59" t="s">
        <v>1512</v>
      </c>
      <c r="E185" s="59" t="s">
        <v>1513</v>
      </c>
      <c r="F185" s="59"/>
      <c r="G185" s="59"/>
      <c r="H185" s="77" t="s">
        <v>1514</v>
      </c>
      <c r="I185" s="77" t="s">
        <v>1515</v>
      </c>
      <c r="J185" s="59" t="s">
        <v>1516</v>
      </c>
      <c r="K185" s="59"/>
      <c r="L185" s="59"/>
      <c r="M185" s="59"/>
      <c r="N185" s="59"/>
      <c r="O185" s="59"/>
      <c r="P185" s="59"/>
      <c r="Q185" s="72"/>
      <c r="R185" s="72"/>
      <c r="T185" s="56"/>
      <c r="U185" s="57"/>
    </row>
    <row r="186" spans="1:21" x14ac:dyDescent="0.25">
      <c r="A186" s="59" t="s">
        <v>1517</v>
      </c>
      <c r="B186" s="54" t="s">
        <v>186</v>
      </c>
      <c r="C186" s="54" t="s">
        <v>1518</v>
      </c>
      <c r="D186" s="59" t="s">
        <v>1519</v>
      </c>
      <c r="E186" s="59" t="s">
        <v>1520</v>
      </c>
      <c r="F186" s="59"/>
      <c r="G186" s="59"/>
      <c r="H186" s="77" t="s">
        <v>1521</v>
      </c>
      <c r="I186" s="77" t="s">
        <v>1522</v>
      </c>
      <c r="J186" s="59" t="s">
        <v>1523</v>
      </c>
      <c r="K186" s="59"/>
      <c r="L186" s="59"/>
      <c r="M186" s="59"/>
      <c r="N186" s="59"/>
      <c r="O186" s="59"/>
      <c r="P186" s="59"/>
      <c r="Q186" s="72"/>
      <c r="R186" s="72"/>
      <c r="T186" s="56"/>
      <c r="U186" s="57"/>
    </row>
    <row r="187" spans="1:21" x14ac:dyDescent="0.25">
      <c r="A187" s="59" t="s">
        <v>1524</v>
      </c>
      <c r="B187" s="54" t="s">
        <v>204</v>
      </c>
      <c r="C187" s="54" t="s">
        <v>1525</v>
      </c>
      <c r="D187" s="59" t="s">
        <v>1526</v>
      </c>
      <c r="E187" s="59" t="s">
        <v>1527</v>
      </c>
      <c r="F187" s="59"/>
      <c r="G187" s="59"/>
      <c r="H187" s="77" t="s">
        <v>1528</v>
      </c>
      <c r="I187" s="77" t="s">
        <v>1529</v>
      </c>
      <c r="J187" s="59" t="s">
        <v>1530</v>
      </c>
      <c r="K187" s="59"/>
      <c r="L187" s="59"/>
      <c r="M187" s="59"/>
      <c r="N187" s="59"/>
      <c r="O187" s="59"/>
      <c r="P187" s="59"/>
      <c r="Q187" s="72"/>
      <c r="R187" s="72"/>
      <c r="T187" s="56"/>
      <c r="U187" s="57"/>
    </row>
    <row r="188" spans="1:21" x14ac:dyDescent="0.25">
      <c r="A188" s="59" t="s">
        <v>1531</v>
      </c>
      <c r="B188" s="54" t="s">
        <v>300</v>
      </c>
      <c r="C188" s="54" t="s">
        <v>1532</v>
      </c>
      <c r="D188" s="59" t="s">
        <v>1533</v>
      </c>
      <c r="E188" s="59" t="s">
        <v>1534</v>
      </c>
      <c r="F188" s="59"/>
      <c r="G188" s="59"/>
      <c r="H188" s="77" t="s">
        <v>1535</v>
      </c>
      <c r="I188" s="77" t="s">
        <v>1536</v>
      </c>
      <c r="J188" s="59" t="s">
        <v>1537</v>
      </c>
      <c r="K188" s="59"/>
      <c r="L188" s="59"/>
      <c r="M188" s="59"/>
      <c r="N188" s="59"/>
      <c r="O188" s="59"/>
      <c r="P188" s="59"/>
      <c r="Q188" s="72"/>
      <c r="R188" s="72"/>
      <c r="T188" s="56"/>
      <c r="U188" s="57"/>
    </row>
    <row r="189" spans="1:21" x14ac:dyDescent="0.25">
      <c r="A189" s="59" t="s">
        <v>1538</v>
      </c>
      <c r="B189" s="54" t="s">
        <v>178</v>
      </c>
      <c r="C189" s="54" t="s">
        <v>1539</v>
      </c>
      <c r="D189" s="59" t="s">
        <v>1540</v>
      </c>
      <c r="E189" s="59" t="s">
        <v>1541</v>
      </c>
      <c r="F189" s="59"/>
      <c r="G189" s="59"/>
      <c r="H189" s="77" t="s">
        <v>1542</v>
      </c>
      <c r="I189" s="77" t="s">
        <v>1543</v>
      </c>
      <c r="J189" s="59" t="s">
        <v>1544</v>
      </c>
      <c r="K189" s="59"/>
      <c r="L189" s="59"/>
      <c r="M189" s="59"/>
      <c r="N189" s="59"/>
      <c r="O189" s="59"/>
      <c r="P189" s="59"/>
      <c r="Q189" s="72"/>
      <c r="R189" s="72"/>
      <c r="T189" s="56"/>
      <c r="U189" s="57"/>
    </row>
    <row r="190" spans="1:21" ht="15.75" x14ac:dyDescent="0.25">
      <c r="A190" s="59" t="s">
        <v>1545</v>
      </c>
      <c r="B190" s="54" t="s">
        <v>300</v>
      </c>
      <c r="C190" s="54" t="s">
        <v>1546</v>
      </c>
      <c r="D190" s="59" t="s">
        <v>1547</v>
      </c>
      <c r="E190" s="59" t="s">
        <v>1548</v>
      </c>
      <c r="F190" s="59"/>
      <c r="G190" s="59">
        <v>1017</v>
      </c>
      <c r="H190" s="77" t="s">
        <v>1549</v>
      </c>
      <c r="I190" s="77" t="s">
        <v>1550</v>
      </c>
      <c r="J190" s="59" t="s">
        <v>1551</v>
      </c>
      <c r="K190" s="59"/>
      <c r="L190" s="59"/>
      <c r="M190" s="59"/>
      <c r="N190" s="59"/>
      <c r="O190" s="59"/>
      <c r="P190" s="59"/>
      <c r="Q190" s="72"/>
      <c r="R190" s="72"/>
      <c r="S190" s="26"/>
      <c r="T190" s="27"/>
      <c r="U190" s="28"/>
    </row>
    <row r="191" spans="1:21" ht="15.75" x14ac:dyDescent="0.25">
      <c r="A191" s="59" t="s">
        <v>1552</v>
      </c>
      <c r="B191" s="54" t="s">
        <v>178</v>
      </c>
      <c r="C191" s="54" t="s">
        <v>1553</v>
      </c>
      <c r="D191" s="59" t="s">
        <v>1554</v>
      </c>
      <c r="E191" s="59" t="s">
        <v>1555</v>
      </c>
      <c r="F191" s="59"/>
      <c r="G191" s="59">
        <v>3403</v>
      </c>
      <c r="H191" s="77" t="s">
        <v>1556</v>
      </c>
      <c r="I191" s="77" t="s">
        <v>1557</v>
      </c>
      <c r="J191" s="59" t="s">
        <v>1558</v>
      </c>
      <c r="K191" s="59"/>
      <c r="L191" s="59"/>
      <c r="M191" s="59"/>
      <c r="N191" s="59"/>
      <c r="O191" s="59"/>
      <c r="P191" s="59"/>
      <c r="Q191" s="72"/>
      <c r="R191" s="72"/>
      <c r="S191" s="26"/>
      <c r="T191" s="27"/>
      <c r="U191" s="28"/>
    </row>
    <row r="192" spans="1:21" ht="15.75" x14ac:dyDescent="0.25">
      <c r="A192" s="59" t="s">
        <v>1559</v>
      </c>
      <c r="B192" s="54" t="s">
        <v>186</v>
      </c>
      <c r="C192" s="54" t="s">
        <v>1560</v>
      </c>
      <c r="D192" s="59" t="s">
        <v>1561</v>
      </c>
      <c r="E192" s="59" t="s">
        <v>1562</v>
      </c>
      <c r="F192" s="59"/>
      <c r="G192" s="59"/>
      <c r="H192" s="77" t="s">
        <v>1563</v>
      </c>
      <c r="I192" s="77" t="s">
        <v>1564</v>
      </c>
      <c r="J192" s="59" t="s">
        <v>1565</v>
      </c>
      <c r="K192" s="59"/>
      <c r="L192" s="59"/>
      <c r="M192" s="59"/>
      <c r="N192" s="59"/>
      <c r="O192" s="59"/>
      <c r="P192" s="59"/>
      <c r="Q192" s="59"/>
      <c r="R192" s="59"/>
      <c r="S192" s="35"/>
      <c r="T192" s="27"/>
      <c r="U192" s="28"/>
    </row>
    <row r="193" spans="1:21" ht="15.75" x14ac:dyDescent="0.25">
      <c r="A193" s="59" t="s">
        <v>1566</v>
      </c>
      <c r="B193" s="54" t="s">
        <v>155</v>
      </c>
      <c r="C193" s="54" t="s">
        <v>1567</v>
      </c>
      <c r="D193" s="59" t="s">
        <v>1568</v>
      </c>
      <c r="E193" s="59" t="s">
        <v>1569</v>
      </c>
      <c r="F193" s="59" t="s">
        <v>1570</v>
      </c>
      <c r="G193" s="59" t="s">
        <v>1571</v>
      </c>
      <c r="H193" s="77" t="s">
        <v>1572</v>
      </c>
      <c r="I193" s="77" t="s">
        <v>1573</v>
      </c>
      <c r="J193" s="59" t="s">
        <v>1574</v>
      </c>
      <c r="K193" s="59"/>
      <c r="L193" s="59"/>
      <c r="M193" s="59"/>
      <c r="N193" s="59"/>
      <c r="O193" s="59"/>
      <c r="P193" s="59"/>
      <c r="Q193" s="59"/>
      <c r="R193" s="59"/>
      <c r="S193" s="35"/>
      <c r="T193" s="27"/>
      <c r="U193" s="28"/>
    </row>
    <row r="194" spans="1:21" ht="15.75" x14ac:dyDescent="0.25">
      <c r="A194" s="59" t="s">
        <v>1575</v>
      </c>
      <c r="B194" s="54" t="s">
        <v>300</v>
      </c>
      <c r="C194" s="54" t="s">
        <v>1576</v>
      </c>
      <c r="D194" s="59" t="s">
        <v>1577</v>
      </c>
      <c r="E194" s="59" t="s">
        <v>1578</v>
      </c>
      <c r="F194" s="59"/>
      <c r="G194" s="59"/>
      <c r="H194" s="77" t="s">
        <v>1579</v>
      </c>
      <c r="I194" s="77" t="s">
        <v>1580</v>
      </c>
      <c r="J194" s="59" t="s">
        <v>1581</v>
      </c>
      <c r="K194" s="59"/>
      <c r="L194" s="59"/>
      <c r="M194" s="59"/>
      <c r="N194" s="59"/>
      <c r="O194" s="59"/>
      <c r="P194" s="59"/>
      <c r="Q194" s="59"/>
      <c r="R194" s="59"/>
      <c r="S194" s="35"/>
      <c r="T194" s="27"/>
      <c r="U194" s="28"/>
    </row>
    <row r="195" spans="1:21" ht="15.75" x14ac:dyDescent="0.25">
      <c r="A195" s="59" t="s">
        <v>1582</v>
      </c>
      <c r="B195" s="54" t="s">
        <v>186</v>
      </c>
      <c r="C195" s="54" t="s">
        <v>1583</v>
      </c>
      <c r="D195" s="59" t="s">
        <v>1584</v>
      </c>
      <c r="E195" s="59" t="s">
        <v>1585</v>
      </c>
      <c r="F195" s="59"/>
      <c r="G195" s="59">
        <v>60000</v>
      </c>
      <c r="H195" s="77" t="s">
        <v>1586</v>
      </c>
      <c r="I195" s="77" t="s">
        <v>1587</v>
      </c>
      <c r="J195" s="59" t="s">
        <v>1588</v>
      </c>
      <c r="K195" s="59"/>
      <c r="L195" s="59"/>
      <c r="M195" s="59"/>
      <c r="N195" s="59"/>
      <c r="O195" s="59"/>
      <c r="P195" s="59"/>
      <c r="Q195" s="59"/>
      <c r="R195" s="59"/>
      <c r="S195" s="35"/>
      <c r="T195" s="27"/>
      <c r="U195" s="28"/>
    </row>
    <row r="196" spans="1:21" ht="15.75" x14ac:dyDescent="0.25">
      <c r="A196" s="59" t="s">
        <v>1589</v>
      </c>
      <c r="B196" s="54" t="s">
        <v>186</v>
      </c>
      <c r="C196" s="54" t="s">
        <v>1590</v>
      </c>
      <c r="D196" s="59" t="s">
        <v>1591</v>
      </c>
      <c r="E196" s="59" t="s">
        <v>1592</v>
      </c>
      <c r="F196" s="59"/>
      <c r="G196" s="59" t="s">
        <v>1593</v>
      </c>
      <c r="H196" s="77" t="s">
        <v>1594</v>
      </c>
      <c r="I196" s="77" t="s">
        <v>1595</v>
      </c>
      <c r="J196" s="59" t="s">
        <v>1596</v>
      </c>
      <c r="K196" s="59"/>
      <c r="L196" s="59"/>
      <c r="M196" s="59"/>
      <c r="N196" s="59"/>
      <c r="O196" s="59"/>
      <c r="P196" s="59"/>
      <c r="Q196" s="59"/>
      <c r="R196" s="59"/>
      <c r="S196" s="35"/>
      <c r="T196" s="27"/>
      <c r="U196" s="28"/>
    </row>
    <row r="197" spans="1:21" ht="15.75" x14ac:dyDescent="0.25">
      <c r="A197" s="59" t="s">
        <v>1597</v>
      </c>
      <c r="B197" s="54" t="s">
        <v>186</v>
      </c>
      <c r="C197" s="54" t="s">
        <v>1598</v>
      </c>
      <c r="D197" s="59" t="s">
        <v>1599</v>
      </c>
      <c r="E197" s="59" t="s">
        <v>1600</v>
      </c>
      <c r="F197" s="59" t="s">
        <v>1601</v>
      </c>
      <c r="G197" s="59">
        <v>34788</v>
      </c>
      <c r="H197" s="77" t="s">
        <v>1602</v>
      </c>
      <c r="I197" s="77" t="s">
        <v>1603</v>
      </c>
      <c r="J197" s="59" t="s">
        <v>1604</v>
      </c>
      <c r="K197" s="59"/>
      <c r="L197" s="59"/>
      <c r="M197" s="59"/>
      <c r="N197" s="59"/>
      <c r="O197" s="59"/>
      <c r="P197" s="59"/>
      <c r="Q197" s="59"/>
      <c r="R197" s="59"/>
      <c r="S197" s="35"/>
      <c r="T197" s="27"/>
      <c r="U197" s="28"/>
    </row>
    <row r="198" spans="1:21" ht="15.75" x14ac:dyDescent="0.25">
      <c r="A198" s="59" t="s">
        <v>1605</v>
      </c>
      <c r="B198" s="54" t="s">
        <v>155</v>
      </c>
      <c r="C198" s="54" t="s">
        <v>1606</v>
      </c>
      <c r="D198" s="59" t="s">
        <v>1607</v>
      </c>
      <c r="E198" s="59" t="s">
        <v>1608</v>
      </c>
      <c r="F198" s="59" t="s">
        <v>1609</v>
      </c>
      <c r="G198" s="59" t="s">
        <v>1610</v>
      </c>
      <c r="H198" s="77" t="s">
        <v>1611</v>
      </c>
      <c r="I198" s="77" t="s">
        <v>1612</v>
      </c>
      <c r="J198" s="59" t="s">
        <v>1613</v>
      </c>
      <c r="K198" s="59"/>
      <c r="L198" s="59"/>
      <c r="M198" s="59"/>
      <c r="N198" s="59"/>
      <c r="O198" s="59"/>
      <c r="P198" s="59"/>
      <c r="Q198" s="59"/>
      <c r="R198" s="59"/>
      <c r="S198" s="35"/>
      <c r="T198" s="27"/>
      <c r="U198" s="28"/>
    </row>
    <row r="199" spans="1:21" ht="15.75" x14ac:dyDescent="0.25">
      <c r="A199" s="59" t="s">
        <v>1614</v>
      </c>
      <c r="B199" s="54" t="s">
        <v>300</v>
      </c>
      <c r="C199" s="54" t="s">
        <v>1615</v>
      </c>
      <c r="D199" s="59" t="s">
        <v>1616</v>
      </c>
      <c r="E199" s="59" t="s">
        <v>1617</v>
      </c>
      <c r="F199" s="59"/>
      <c r="G199" s="59"/>
      <c r="H199" s="77" t="s">
        <v>1618</v>
      </c>
      <c r="I199" s="77" t="s">
        <v>1619</v>
      </c>
      <c r="J199" s="59" t="s">
        <v>1620</v>
      </c>
      <c r="K199" s="59"/>
      <c r="L199" s="59"/>
      <c r="M199" s="59"/>
      <c r="N199" s="59"/>
      <c r="O199" s="59"/>
      <c r="P199" s="59"/>
      <c r="Q199" s="59"/>
      <c r="R199" s="59"/>
      <c r="S199" s="35"/>
      <c r="T199" s="27"/>
      <c r="U199" s="28"/>
    </row>
    <row r="200" spans="1:21" ht="15.75" x14ac:dyDescent="0.25">
      <c r="A200" s="59" t="s">
        <v>1621</v>
      </c>
      <c r="B200" s="54" t="s">
        <v>300</v>
      </c>
      <c r="C200" s="54" t="s">
        <v>1622</v>
      </c>
      <c r="D200" s="59" t="s">
        <v>1623</v>
      </c>
      <c r="E200" s="59" t="s">
        <v>1624</v>
      </c>
      <c r="F200" s="59" t="s">
        <v>1625</v>
      </c>
      <c r="G200" s="59">
        <v>38835</v>
      </c>
      <c r="H200" s="77" t="s">
        <v>1626</v>
      </c>
      <c r="I200" s="77" t="s">
        <v>1627</v>
      </c>
      <c r="J200" s="59" t="s">
        <v>1628</v>
      </c>
      <c r="K200" s="59"/>
      <c r="L200" s="59"/>
      <c r="M200" s="59"/>
      <c r="N200" s="59"/>
      <c r="O200" s="59"/>
      <c r="P200" s="59"/>
      <c r="Q200" s="59"/>
      <c r="R200" s="59"/>
      <c r="S200" s="35"/>
      <c r="T200" s="27"/>
      <c r="U200" s="28"/>
    </row>
    <row r="201" spans="1:21" ht="15.75" x14ac:dyDescent="0.25">
      <c r="A201" s="59" t="s">
        <v>1629</v>
      </c>
      <c r="B201" s="54" t="s">
        <v>196</v>
      </c>
      <c r="C201" s="54" t="s">
        <v>1630</v>
      </c>
      <c r="D201" s="59" t="s">
        <v>1631</v>
      </c>
      <c r="E201" s="59" t="s">
        <v>1632</v>
      </c>
      <c r="F201" s="59"/>
      <c r="G201" s="59">
        <v>5614</v>
      </c>
      <c r="H201" s="77" t="s">
        <v>1633</v>
      </c>
      <c r="I201" s="77" t="s">
        <v>1634</v>
      </c>
      <c r="J201" s="59" t="s">
        <v>1635</v>
      </c>
      <c r="K201" s="59"/>
      <c r="L201" s="59"/>
      <c r="M201" s="59"/>
      <c r="N201" s="59"/>
      <c r="O201" s="59"/>
      <c r="P201" s="59"/>
      <c r="Q201" s="59"/>
      <c r="R201" s="59"/>
      <c r="S201" s="35"/>
      <c r="T201" s="27"/>
      <c r="U201" s="28"/>
    </row>
    <row r="202" spans="1:21" ht="15.75" x14ac:dyDescent="0.25">
      <c r="A202" s="59" t="s">
        <v>1636</v>
      </c>
      <c r="B202" s="54" t="s">
        <v>204</v>
      </c>
      <c r="C202" s="54" t="s">
        <v>1637</v>
      </c>
      <c r="D202" s="59" t="s">
        <v>1638</v>
      </c>
      <c r="E202" s="59" t="s">
        <v>1639</v>
      </c>
      <c r="F202" s="59" t="s">
        <v>1640</v>
      </c>
      <c r="G202" s="59">
        <v>18147</v>
      </c>
      <c r="H202" s="77" t="s">
        <v>1641</v>
      </c>
      <c r="I202" s="77" t="s">
        <v>1642</v>
      </c>
      <c r="J202" s="59" t="s">
        <v>1643</v>
      </c>
      <c r="K202" s="59"/>
      <c r="L202" s="59"/>
      <c r="M202" s="59"/>
      <c r="N202" s="59"/>
      <c r="O202" s="59"/>
      <c r="P202" s="59"/>
      <c r="Q202" s="59"/>
      <c r="R202" s="59"/>
      <c r="S202" s="35"/>
      <c r="T202" s="27"/>
      <c r="U202" s="28"/>
    </row>
    <row r="203" spans="1:21" ht="15.75" x14ac:dyDescent="0.25">
      <c r="A203" s="59" t="s">
        <v>1644</v>
      </c>
      <c r="B203" s="54" t="s">
        <v>178</v>
      </c>
      <c r="C203" s="54" t="s">
        <v>1645</v>
      </c>
      <c r="D203" s="59" t="s">
        <v>1646</v>
      </c>
      <c r="E203" s="59" t="s">
        <v>1647</v>
      </c>
      <c r="F203" s="59"/>
      <c r="G203" s="59">
        <v>6311</v>
      </c>
      <c r="H203" s="77" t="s">
        <v>1648</v>
      </c>
      <c r="I203" s="77" t="s">
        <v>1649</v>
      </c>
      <c r="J203" s="59" t="s">
        <v>1650</v>
      </c>
      <c r="K203" s="59"/>
      <c r="L203" s="59"/>
      <c r="M203" s="59"/>
      <c r="N203" s="59"/>
      <c r="O203" s="59"/>
      <c r="P203" s="59"/>
      <c r="Q203" s="59"/>
      <c r="R203" s="59"/>
      <c r="S203" s="35"/>
      <c r="T203" s="27"/>
      <c r="U203" s="28"/>
    </row>
    <row r="204" spans="1:21" ht="15.75" x14ac:dyDescent="0.25">
      <c r="A204" s="59" t="s">
        <v>1651</v>
      </c>
      <c r="B204" s="54" t="s">
        <v>196</v>
      </c>
      <c r="C204" s="54" t="s">
        <v>1652</v>
      </c>
      <c r="D204" s="59" t="s">
        <v>1653</v>
      </c>
      <c r="E204" s="59" t="s">
        <v>1654</v>
      </c>
      <c r="F204" s="59"/>
      <c r="G204" s="59">
        <v>4100</v>
      </c>
      <c r="H204" s="77" t="s">
        <v>1655</v>
      </c>
      <c r="I204" s="77" t="s">
        <v>1656</v>
      </c>
      <c r="J204" s="59" t="s">
        <v>1657</v>
      </c>
      <c r="K204" s="59"/>
      <c r="L204" s="59"/>
      <c r="M204" s="59"/>
      <c r="N204" s="59"/>
      <c r="O204" s="59"/>
      <c r="P204" s="59"/>
      <c r="Q204" s="59"/>
      <c r="R204" s="59"/>
      <c r="S204" s="35"/>
      <c r="T204" s="27"/>
      <c r="U204" s="28"/>
    </row>
    <row r="205" spans="1:21" ht="15.75" x14ac:dyDescent="0.25">
      <c r="A205" s="59" t="s">
        <v>1658</v>
      </c>
      <c r="B205" s="54" t="s">
        <v>204</v>
      </c>
      <c r="C205" s="54" t="s">
        <v>1659</v>
      </c>
      <c r="D205" s="59" t="s">
        <v>1660</v>
      </c>
      <c r="E205" s="59" t="s">
        <v>1661</v>
      </c>
      <c r="F205" s="59"/>
      <c r="G205" s="59"/>
      <c r="H205" s="77" t="s">
        <v>1662</v>
      </c>
      <c r="I205" s="77" t="s">
        <v>1663</v>
      </c>
      <c r="J205" s="59" t="s">
        <v>1664</v>
      </c>
      <c r="K205" s="59"/>
      <c r="L205" s="59"/>
      <c r="M205" s="59"/>
      <c r="N205" s="59"/>
      <c r="O205" s="59"/>
      <c r="P205" s="59"/>
      <c r="Q205" s="59"/>
      <c r="R205" s="59"/>
      <c r="S205" s="35"/>
      <c r="T205" s="27"/>
      <c r="U205" s="28"/>
    </row>
    <row r="206" spans="1:21" ht="15.75" x14ac:dyDescent="0.25">
      <c r="A206" s="59" t="s">
        <v>1665</v>
      </c>
      <c r="B206" s="54" t="s">
        <v>204</v>
      </c>
      <c r="C206" s="54" t="s">
        <v>1666</v>
      </c>
      <c r="D206" s="59" t="s">
        <v>1667</v>
      </c>
      <c r="E206" s="59" t="s">
        <v>1668</v>
      </c>
      <c r="F206" s="59"/>
      <c r="G206" s="59">
        <v>2152</v>
      </c>
      <c r="H206" s="77" t="s">
        <v>1669</v>
      </c>
      <c r="I206" s="77" t="s">
        <v>1670</v>
      </c>
      <c r="J206" s="59" t="s">
        <v>1671</v>
      </c>
      <c r="K206" s="59"/>
      <c r="L206" s="59"/>
      <c r="M206" s="59"/>
      <c r="N206" s="59"/>
      <c r="O206" s="59"/>
      <c r="P206" s="59"/>
      <c r="Q206" s="59"/>
      <c r="R206" s="59"/>
      <c r="S206" s="35"/>
      <c r="T206" s="27"/>
      <c r="U206" s="28"/>
    </row>
    <row r="207" spans="1:21" ht="15.75" x14ac:dyDescent="0.25">
      <c r="A207" s="59" t="s">
        <v>1672</v>
      </c>
      <c r="B207" s="54" t="s">
        <v>178</v>
      </c>
      <c r="C207" s="54" t="s">
        <v>1673</v>
      </c>
      <c r="D207" s="59" t="s">
        <v>1674</v>
      </c>
      <c r="E207" s="59" t="s">
        <v>1675</v>
      </c>
      <c r="F207" s="59"/>
      <c r="G207" s="59"/>
      <c r="H207" s="77" t="s">
        <v>1676</v>
      </c>
      <c r="I207" s="77" t="s">
        <v>1677</v>
      </c>
      <c r="J207" s="59" t="s">
        <v>1678</v>
      </c>
      <c r="K207" s="59"/>
      <c r="L207" s="59"/>
      <c r="M207" s="59"/>
      <c r="N207" s="59"/>
      <c r="O207" s="59"/>
      <c r="P207" s="59"/>
      <c r="Q207" s="59"/>
      <c r="R207" s="59"/>
      <c r="S207" s="35"/>
      <c r="T207" s="27"/>
      <c r="U207" s="28"/>
    </row>
    <row r="208" spans="1:21" ht="15.75" x14ac:dyDescent="0.25">
      <c r="A208" s="59" t="s">
        <v>1679</v>
      </c>
      <c r="B208" s="54" t="s">
        <v>155</v>
      </c>
      <c r="C208" s="54" t="s">
        <v>1680</v>
      </c>
      <c r="D208" s="59" t="s">
        <v>1681</v>
      </c>
      <c r="E208" s="59" t="s">
        <v>1682</v>
      </c>
      <c r="F208" s="59"/>
      <c r="G208" s="59"/>
      <c r="H208" s="77" t="s">
        <v>1683</v>
      </c>
      <c r="I208" s="77" t="s">
        <v>1684</v>
      </c>
      <c r="J208" s="59" t="s">
        <v>1685</v>
      </c>
      <c r="K208" s="59"/>
      <c r="L208" s="59"/>
      <c r="M208" s="59"/>
      <c r="N208" s="59"/>
      <c r="O208" s="59"/>
      <c r="P208" s="59"/>
      <c r="Q208" s="59"/>
      <c r="R208" s="59"/>
      <c r="S208" s="35"/>
      <c r="T208" s="27"/>
      <c r="U208" s="28"/>
    </row>
    <row r="209" spans="1:22" ht="15.75" x14ac:dyDescent="0.25">
      <c r="A209" s="59" t="s">
        <v>1686</v>
      </c>
      <c r="B209" s="54" t="s">
        <v>196</v>
      </c>
      <c r="C209" s="54" t="s">
        <v>1687</v>
      </c>
      <c r="D209" s="59" t="s">
        <v>1688</v>
      </c>
      <c r="E209" s="59" t="s">
        <v>1689</v>
      </c>
      <c r="F209" s="59"/>
      <c r="G209" s="59">
        <v>477027</v>
      </c>
      <c r="H209" s="77" t="s">
        <v>1690</v>
      </c>
      <c r="I209" s="77" t="s">
        <v>1691</v>
      </c>
      <c r="J209" s="59" t="s">
        <v>1692</v>
      </c>
      <c r="K209" s="59"/>
      <c r="L209" s="59"/>
      <c r="M209" s="59"/>
      <c r="N209" s="59"/>
      <c r="O209" s="59"/>
      <c r="P209" s="59"/>
      <c r="Q209" s="59"/>
      <c r="R209" s="59"/>
      <c r="S209" s="35"/>
      <c r="T209" s="27"/>
      <c r="U209" s="28"/>
    </row>
    <row r="210" spans="1:22" ht="15.75" x14ac:dyDescent="0.25">
      <c r="A210" s="59" t="s">
        <v>1693</v>
      </c>
      <c r="B210" s="54" t="s">
        <v>204</v>
      </c>
      <c r="C210" s="54" t="s">
        <v>1694</v>
      </c>
      <c r="D210" s="59" t="s">
        <v>1695</v>
      </c>
      <c r="E210" s="59" t="s">
        <v>1696</v>
      </c>
      <c r="F210" s="59" t="s">
        <v>1697</v>
      </c>
      <c r="G210" s="59">
        <v>73173</v>
      </c>
      <c r="H210" s="77" t="s">
        <v>1698</v>
      </c>
      <c r="I210" s="77" t="s">
        <v>1699</v>
      </c>
      <c r="J210" s="59" t="s">
        <v>1700</v>
      </c>
      <c r="K210" s="59"/>
      <c r="L210" s="59"/>
      <c r="M210" s="59"/>
      <c r="N210" s="59"/>
      <c r="O210" s="59"/>
      <c r="P210" s="59"/>
      <c r="Q210" s="59"/>
      <c r="R210" s="59"/>
      <c r="S210" s="35"/>
      <c r="T210" s="27"/>
      <c r="U210" s="28"/>
    </row>
    <row r="211" spans="1:22" ht="15.75" x14ac:dyDescent="0.25">
      <c r="A211" s="59" t="s">
        <v>1701</v>
      </c>
      <c r="B211" s="54" t="s">
        <v>300</v>
      </c>
      <c r="C211" s="54" t="s">
        <v>1702</v>
      </c>
      <c r="D211" s="59" t="s">
        <v>1703</v>
      </c>
      <c r="E211" s="59" t="s">
        <v>1704</v>
      </c>
      <c r="F211" s="59" t="s">
        <v>1705</v>
      </c>
      <c r="G211" s="59">
        <v>8243</v>
      </c>
      <c r="H211" s="77" t="s">
        <v>1706</v>
      </c>
      <c r="I211" s="77" t="s">
        <v>1707</v>
      </c>
      <c r="J211" s="59" t="s">
        <v>1708</v>
      </c>
      <c r="K211" s="59"/>
      <c r="L211" s="59"/>
      <c r="M211" s="59"/>
      <c r="N211" s="59"/>
      <c r="O211" s="59"/>
      <c r="P211" s="59"/>
      <c r="Q211" s="59"/>
      <c r="R211" s="59"/>
      <c r="S211" s="35"/>
      <c r="T211" s="27"/>
      <c r="U211" s="28"/>
    </row>
    <row r="212" spans="1:22" ht="15.75" x14ac:dyDescent="0.25">
      <c r="A212" s="59" t="s">
        <v>1709</v>
      </c>
      <c r="B212" s="54" t="s">
        <v>204</v>
      </c>
      <c r="C212" s="54" t="s">
        <v>1710</v>
      </c>
      <c r="D212" s="59" t="s">
        <v>1711</v>
      </c>
      <c r="E212" s="59" t="s">
        <v>1712</v>
      </c>
      <c r="F212" s="59"/>
      <c r="G212" s="59" t="s">
        <v>1713</v>
      </c>
      <c r="H212" s="77" t="s">
        <v>1714</v>
      </c>
      <c r="I212" s="77" t="s">
        <v>1715</v>
      </c>
      <c r="J212" s="59" t="s">
        <v>1716</v>
      </c>
      <c r="K212" s="59"/>
      <c r="L212" s="59"/>
      <c r="M212" s="59"/>
      <c r="N212" s="59"/>
      <c r="O212" s="59"/>
      <c r="P212" s="59"/>
      <c r="Q212" s="59"/>
      <c r="R212" s="59"/>
      <c r="S212" s="35"/>
      <c r="T212" s="27"/>
      <c r="U212" s="28"/>
    </row>
    <row r="213" spans="1:22" ht="15.75" x14ac:dyDescent="0.25">
      <c r="A213" s="59" t="s">
        <v>1717</v>
      </c>
      <c r="B213" s="54" t="s">
        <v>300</v>
      </c>
      <c r="C213" s="54" t="s">
        <v>1718</v>
      </c>
      <c r="D213" s="59" t="s">
        <v>1719</v>
      </c>
      <c r="E213" s="59" t="s">
        <v>1720</v>
      </c>
      <c r="F213" s="59"/>
      <c r="G213" s="59">
        <v>8006</v>
      </c>
      <c r="H213" s="77" t="s">
        <v>1721</v>
      </c>
      <c r="I213" s="77" t="s">
        <v>1722</v>
      </c>
      <c r="J213" s="59" t="s">
        <v>1723</v>
      </c>
      <c r="K213" s="59"/>
      <c r="L213" s="59"/>
      <c r="M213" s="59"/>
      <c r="N213" s="59"/>
      <c r="O213" s="59"/>
      <c r="P213" s="59"/>
      <c r="Q213" s="59"/>
      <c r="R213" s="59"/>
      <c r="S213" s="35"/>
      <c r="T213" s="27"/>
      <c r="U213" s="28"/>
    </row>
    <row r="214" spans="1:22" ht="15.75" x14ac:dyDescent="0.25">
      <c r="A214" s="59" t="s">
        <v>1724</v>
      </c>
      <c r="B214" s="54" t="s">
        <v>300</v>
      </c>
      <c r="C214" s="54" t="s">
        <v>1725</v>
      </c>
      <c r="D214" s="59" t="s">
        <v>1726</v>
      </c>
      <c r="E214" s="59" t="s">
        <v>1727</v>
      </c>
      <c r="F214" s="59"/>
      <c r="G214" s="59"/>
      <c r="H214" s="77" t="s">
        <v>1728</v>
      </c>
      <c r="I214" s="77" t="s">
        <v>1729</v>
      </c>
      <c r="J214" s="59" t="s">
        <v>1730</v>
      </c>
      <c r="K214" s="59"/>
      <c r="L214" s="59"/>
      <c r="M214" s="59"/>
      <c r="N214" s="59"/>
      <c r="O214" s="59"/>
      <c r="P214" s="59"/>
      <c r="Q214" s="59"/>
      <c r="R214" s="59"/>
      <c r="S214" s="35"/>
      <c r="T214" s="27"/>
      <c r="U214" s="28"/>
    </row>
    <row r="215" spans="1:22" x14ac:dyDescent="0.25">
      <c r="A215" s="70" t="s">
        <v>1731</v>
      </c>
      <c r="B215" s="94" t="s">
        <v>186</v>
      </c>
      <c r="C215" s="54" t="s">
        <v>1732</v>
      </c>
      <c r="D215" s="71" t="s">
        <v>1733</v>
      </c>
      <c r="E215" s="71" t="s">
        <v>1734</v>
      </c>
      <c r="F215" s="71"/>
      <c r="G215" s="71"/>
      <c r="H215" s="81" t="s">
        <v>1735</v>
      </c>
      <c r="I215" s="81" t="s">
        <v>1736</v>
      </c>
      <c r="J215" s="70" t="s">
        <v>1737</v>
      </c>
      <c r="K215" s="70"/>
      <c r="L215" s="70"/>
      <c r="M215" s="70"/>
      <c r="N215" s="70"/>
      <c r="O215" s="59"/>
      <c r="P215" s="59"/>
      <c r="Q215" s="72"/>
      <c r="R215" s="72"/>
      <c r="S215" s="67"/>
      <c r="T215" s="63"/>
      <c r="U215" s="64"/>
    </row>
    <row r="216" spans="1:22" x14ac:dyDescent="0.25">
      <c r="A216" s="70" t="s">
        <v>1738</v>
      </c>
      <c r="B216" s="94" t="s">
        <v>196</v>
      </c>
      <c r="C216" s="54" t="s">
        <v>1739</v>
      </c>
      <c r="D216" s="71" t="s">
        <v>1740</v>
      </c>
      <c r="E216" s="71" t="s">
        <v>1741</v>
      </c>
      <c r="F216" s="71"/>
      <c r="G216" s="71">
        <v>9504</v>
      </c>
      <c r="H216" s="81" t="s">
        <v>1742</v>
      </c>
      <c r="I216" s="81" t="s">
        <v>1743</v>
      </c>
      <c r="J216" s="70" t="s">
        <v>1744</v>
      </c>
      <c r="K216" s="70"/>
      <c r="L216" s="70"/>
      <c r="M216" s="70"/>
      <c r="N216" s="70"/>
      <c r="O216" s="59"/>
      <c r="P216" s="59"/>
      <c r="Q216" s="72"/>
      <c r="R216" s="72"/>
      <c r="S216" s="68"/>
      <c r="T216" s="56"/>
      <c r="U216" s="57"/>
    </row>
    <row r="217" spans="1:22" x14ac:dyDescent="0.25">
      <c r="A217" s="70" t="s">
        <v>1745</v>
      </c>
      <c r="B217" s="94" t="s">
        <v>155</v>
      </c>
      <c r="C217" s="54" t="s">
        <v>1746</v>
      </c>
      <c r="D217" s="71" t="s">
        <v>1747</v>
      </c>
      <c r="E217" s="71" t="s">
        <v>1748</v>
      </c>
      <c r="F217" s="71"/>
      <c r="G217" s="71"/>
      <c r="H217" s="81" t="s">
        <v>1749</v>
      </c>
      <c r="I217" s="81" t="s">
        <v>1750</v>
      </c>
      <c r="J217" s="70" t="s">
        <v>1751</v>
      </c>
      <c r="K217" s="70"/>
      <c r="L217" s="70"/>
      <c r="M217" s="70"/>
      <c r="N217" s="70"/>
      <c r="O217" s="59"/>
      <c r="P217" s="59"/>
      <c r="Q217" s="72"/>
      <c r="R217" s="72"/>
      <c r="T217" s="56"/>
      <c r="U217" s="57"/>
      <c r="V217" s="52" t="e">
        <f>PROPER(#REF!)</f>
        <v>#REF!</v>
      </c>
    </row>
    <row r="218" spans="1:22" x14ac:dyDescent="0.25">
      <c r="A218" s="70" t="s">
        <v>1752</v>
      </c>
      <c r="B218" s="94" t="s">
        <v>300</v>
      </c>
      <c r="C218" s="54" t="s">
        <v>1753</v>
      </c>
      <c r="D218" s="71" t="s">
        <v>1754</v>
      </c>
      <c r="E218" s="71" t="s">
        <v>347</v>
      </c>
      <c r="F218" s="71"/>
      <c r="G218" s="71"/>
      <c r="H218" s="81" t="s">
        <v>1755</v>
      </c>
      <c r="I218" s="81" t="s">
        <v>1756</v>
      </c>
      <c r="J218" s="70" t="s">
        <v>1757</v>
      </c>
      <c r="K218" s="70"/>
      <c r="L218" s="70"/>
      <c r="M218" s="70"/>
      <c r="N218" s="70"/>
      <c r="O218" s="59"/>
      <c r="P218" s="59"/>
      <c r="Q218" s="72"/>
      <c r="R218" s="72"/>
      <c r="S218" s="62"/>
      <c r="T218" s="63"/>
      <c r="U218" s="64"/>
      <c r="V218" s="52" t="e">
        <f>PROPER(#REF!)</f>
        <v>#REF!</v>
      </c>
    </row>
    <row r="219" spans="1:22" x14ac:dyDescent="0.25">
      <c r="A219" s="101"/>
      <c r="B219" s="94"/>
      <c r="C219" s="102"/>
      <c r="D219" s="71"/>
      <c r="E219" s="71"/>
      <c r="F219" s="71"/>
      <c r="G219" s="71"/>
      <c r="H219" s="103"/>
      <c r="I219" s="103"/>
      <c r="J219" s="95"/>
      <c r="K219" s="95"/>
      <c r="L219" s="97"/>
      <c r="M219" s="98"/>
      <c r="N219" s="95"/>
      <c r="O219" s="99"/>
      <c r="P219" s="99"/>
      <c r="Q219" s="100"/>
      <c r="R219" s="100"/>
      <c r="T219" s="56"/>
      <c r="U219" s="57"/>
    </row>
    <row r="220" spans="1:22" x14ac:dyDescent="0.25">
      <c r="I220" s="52"/>
      <c r="J220" s="52"/>
    </row>
    <row r="221" spans="1:22" x14ac:dyDescent="0.25">
      <c r="I221" s="52"/>
      <c r="J221" s="52"/>
    </row>
    <row r="222" spans="1:22" x14ac:dyDescent="0.25">
      <c r="I222" s="52"/>
      <c r="J222" s="52"/>
    </row>
    <row r="223" spans="1:22" x14ac:dyDescent="0.25">
      <c r="I223" s="52"/>
      <c r="J223" s="52"/>
    </row>
    <row r="224" spans="1:22" x14ac:dyDescent="0.25">
      <c r="I224" s="52"/>
      <c r="J224" s="52"/>
    </row>
    <row r="225" spans="9:10" x14ac:dyDescent="0.25">
      <c r="I225" s="52"/>
      <c r="J225" s="52"/>
    </row>
    <row r="226" spans="9:10" x14ac:dyDescent="0.25">
      <c r="I226" s="52"/>
      <c r="J226" s="52"/>
    </row>
    <row r="227" spans="9:10" x14ac:dyDescent="0.25">
      <c r="I227" s="52"/>
      <c r="J227" s="52"/>
    </row>
    <row r="228" spans="9:10" x14ac:dyDescent="0.25">
      <c r="I228" s="52"/>
      <c r="J228" s="52"/>
    </row>
    <row r="229" spans="9:10" x14ac:dyDescent="0.25">
      <c r="I229" s="52"/>
      <c r="J229" s="52"/>
    </row>
    <row r="230" spans="9:10" x14ac:dyDescent="0.25">
      <c r="I230" s="52"/>
      <c r="J230" s="52"/>
    </row>
    <row r="231" spans="9:10" x14ac:dyDescent="0.25">
      <c r="I231" s="52"/>
      <c r="J231" s="52"/>
    </row>
    <row r="232" spans="9:10" x14ac:dyDescent="0.25">
      <c r="I232" s="52"/>
      <c r="J232" s="52"/>
    </row>
    <row r="233" spans="9:10" x14ac:dyDescent="0.25">
      <c r="I233" s="52"/>
      <c r="J233" s="52"/>
    </row>
    <row r="234" spans="9:10" x14ac:dyDescent="0.25">
      <c r="I234" s="52"/>
      <c r="J234" s="52"/>
    </row>
    <row r="235" spans="9:10" x14ac:dyDescent="0.25">
      <c r="I235" s="52"/>
      <c r="J235" s="52"/>
    </row>
    <row r="236" spans="9:10" x14ac:dyDescent="0.25">
      <c r="I236" s="52"/>
      <c r="J236" s="52"/>
    </row>
    <row r="237" spans="9:10" x14ac:dyDescent="0.25">
      <c r="I237" s="52"/>
      <c r="J237" s="52"/>
    </row>
    <row r="238" spans="9:10" x14ac:dyDescent="0.25">
      <c r="I238" s="52"/>
      <c r="J238" s="52"/>
    </row>
    <row r="239" spans="9:10" x14ac:dyDescent="0.25">
      <c r="I239" s="52"/>
      <c r="J239" s="52"/>
    </row>
    <row r="240" spans="9:10" x14ac:dyDescent="0.25">
      <c r="I240" s="52"/>
      <c r="J240" s="52"/>
    </row>
    <row r="241" spans="9:10" x14ac:dyDescent="0.25">
      <c r="I241" s="52"/>
      <c r="J241" s="52"/>
    </row>
    <row r="242" spans="9:10" x14ac:dyDescent="0.25">
      <c r="I242" s="52"/>
      <c r="J242" s="52"/>
    </row>
    <row r="243" spans="9:10" x14ac:dyDescent="0.25">
      <c r="I243" s="52"/>
      <c r="J243" s="52"/>
    </row>
    <row r="244" spans="9:10" x14ac:dyDescent="0.25">
      <c r="I244" s="52"/>
      <c r="J244" s="52"/>
    </row>
    <row r="245" spans="9:10" x14ac:dyDescent="0.25">
      <c r="I245" s="52"/>
      <c r="J245" s="52"/>
    </row>
    <row r="246" spans="9:10" x14ac:dyDescent="0.25">
      <c r="I246" s="52"/>
      <c r="J246" s="52"/>
    </row>
    <row r="247" spans="9:10" x14ac:dyDescent="0.25">
      <c r="I247" s="52"/>
      <c r="J247" s="52"/>
    </row>
    <row r="248" spans="9:10" x14ac:dyDescent="0.25">
      <c r="I248" s="52"/>
      <c r="J248" s="52"/>
    </row>
    <row r="249" spans="9:10" x14ac:dyDescent="0.25">
      <c r="I249" s="52"/>
      <c r="J249" s="52"/>
    </row>
    <row r="250" spans="9:10" x14ac:dyDescent="0.25">
      <c r="I250" s="52"/>
      <c r="J250" s="52"/>
    </row>
    <row r="251" spans="9:10" x14ac:dyDescent="0.25">
      <c r="I251" s="52"/>
      <c r="J251" s="52"/>
    </row>
    <row r="252" spans="9:10" x14ac:dyDescent="0.25">
      <c r="I252" s="52"/>
      <c r="J252" s="52"/>
    </row>
    <row r="253" spans="9:10" x14ac:dyDescent="0.25">
      <c r="I253" s="52"/>
      <c r="J253" s="52"/>
    </row>
    <row r="254" spans="9:10" x14ac:dyDescent="0.25">
      <c r="I254" s="52"/>
      <c r="J254" s="52"/>
    </row>
    <row r="255" spans="9:10" x14ac:dyDescent="0.25">
      <c r="I255" s="52"/>
      <c r="J255" s="52"/>
    </row>
    <row r="256" spans="9:10" x14ac:dyDescent="0.25">
      <c r="I256" s="52"/>
      <c r="J256" s="52"/>
    </row>
    <row r="257" spans="9:10" x14ac:dyDescent="0.25">
      <c r="I257" s="52"/>
      <c r="J257" s="52"/>
    </row>
    <row r="258" spans="9:10" x14ac:dyDescent="0.25">
      <c r="I258" s="52"/>
      <c r="J258" s="52"/>
    </row>
    <row r="259" spans="9:10" x14ac:dyDescent="0.25">
      <c r="I259" s="52"/>
      <c r="J259" s="52"/>
    </row>
    <row r="260" spans="9:10" x14ac:dyDescent="0.25">
      <c r="I260" s="52"/>
      <c r="J260" s="52"/>
    </row>
    <row r="261" spans="9:10" x14ac:dyDescent="0.25">
      <c r="I261" s="52"/>
      <c r="J261" s="52"/>
    </row>
    <row r="262" spans="9:10" x14ac:dyDescent="0.25">
      <c r="I262" s="52"/>
      <c r="J262" s="52"/>
    </row>
    <row r="263" spans="9:10" x14ac:dyDescent="0.25">
      <c r="I263" s="52"/>
      <c r="J263" s="52"/>
    </row>
    <row r="264" spans="9:10" x14ac:dyDescent="0.25">
      <c r="I264" s="52"/>
      <c r="J264" s="52"/>
    </row>
    <row r="265" spans="9:10" x14ac:dyDescent="0.25">
      <c r="I265" s="52"/>
      <c r="J265" s="52"/>
    </row>
    <row r="266" spans="9:10" x14ac:dyDescent="0.25">
      <c r="I266" s="52"/>
      <c r="J266" s="52"/>
    </row>
    <row r="267" spans="9:10" x14ac:dyDescent="0.25">
      <c r="I267" s="52"/>
      <c r="J267" s="52"/>
    </row>
    <row r="268" spans="9:10" x14ac:dyDescent="0.25">
      <c r="I268" s="52"/>
      <c r="J268" s="52"/>
    </row>
    <row r="269" spans="9:10" x14ac:dyDescent="0.25">
      <c r="I269" s="52"/>
      <c r="J269" s="52"/>
    </row>
    <row r="270" spans="9:10" x14ac:dyDescent="0.25">
      <c r="I270" s="52"/>
      <c r="J270" s="52"/>
    </row>
    <row r="271" spans="9:10" x14ac:dyDescent="0.25">
      <c r="I271" s="52"/>
      <c r="J271" s="52"/>
    </row>
    <row r="272" spans="9:10" x14ac:dyDescent="0.25">
      <c r="I272" s="52"/>
      <c r="J272" s="52"/>
    </row>
    <row r="273" spans="9:10" x14ac:dyDescent="0.25">
      <c r="I273" s="52"/>
      <c r="J273" s="52"/>
    </row>
    <row r="274" spans="9:10" x14ac:dyDescent="0.25">
      <c r="I274" s="52"/>
      <c r="J274" s="52"/>
    </row>
    <row r="275" spans="9:10" x14ac:dyDescent="0.25">
      <c r="I275" s="52"/>
      <c r="J275" s="52"/>
    </row>
    <row r="276" spans="9:10" x14ac:dyDescent="0.25">
      <c r="I276" s="52"/>
      <c r="J276" s="52"/>
    </row>
    <row r="277" spans="9:10" x14ac:dyDescent="0.25">
      <c r="I277" s="52"/>
      <c r="J277" s="52"/>
    </row>
    <row r="278" spans="9:10" x14ac:dyDescent="0.25">
      <c r="I278" s="52"/>
      <c r="J278" s="52"/>
    </row>
    <row r="279" spans="9:10" x14ac:dyDescent="0.25">
      <c r="I279" s="52"/>
      <c r="J279" s="52"/>
    </row>
    <row r="280" spans="9:10" x14ac:dyDescent="0.25">
      <c r="I280" s="52"/>
      <c r="J280" s="52"/>
    </row>
    <row r="281" spans="9:10" x14ac:dyDescent="0.25">
      <c r="I281" s="52"/>
      <c r="J281" s="52"/>
    </row>
    <row r="282" spans="9:10" x14ac:dyDescent="0.25">
      <c r="I282" s="52"/>
      <c r="J282" s="52"/>
    </row>
    <row r="283" spans="9:10" x14ac:dyDescent="0.25">
      <c r="I283" s="52"/>
      <c r="J283" s="52"/>
    </row>
    <row r="284" spans="9:10" x14ac:dyDescent="0.25">
      <c r="I284" s="52"/>
      <c r="J284" s="52"/>
    </row>
    <row r="285" spans="9:10" x14ac:dyDescent="0.25">
      <c r="I285" s="52"/>
      <c r="J285" s="52"/>
    </row>
    <row r="286" spans="9:10" x14ac:dyDescent="0.25">
      <c r="I286" s="52"/>
      <c r="J286" s="52"/>
    </row>
    <row r="287" spans="9:10" x14ac:dyDescent="0.25">
      <c r="I287" s="52"/>
      <c r="J287" s="52"/>
    </row>
    <row r="288" spans="9:10" x14ac:dyDescent="0.25">
      <c r="I288" s="52"/>
      <c r="J288" s="52"/>
    </row>
    <row r="289" spans="9:10" x14ac:dyDescent="0.25">
      <c r="I289" s="52"/>
      <c r="J289" s="52"/>
    </row>
    <row r="290" spans="9:10" x14ac:dyDescent="0.25">
      <c r="I290" s="52"/>
      <c r="J290" s="52"/>
    </row>
    <row r="291" spans="9:10" x14ac:dyDescent="0.25">
      <c r="I291" s="52"/>
      <c r="J291" s="52"/>
    </row>
    <row r="292" spans="9:10" x14ac:dyDescent="0.25">
      <c r="I292" s="52"/>
      <c r="J292" s="52"/>
    </row>
    <row r="293" spans="9:10" x14ac:dyDescent="0.25">
      <c r="I293" s="52"/>
      <c r="J293" s="52"/>
    </row>
    <row r="294" spans="9:10" x14ac:dyDescent="0.25">
      <c r="I294" s="52"/>
      <c r="J294" s="52"/>
    </row>
    <row r="295" spans="9:10" x14ac:dyDescent="0.25">
      <c r="I295" s="52"/>
      <c r="J295" s="52"/>
    </row>
    <row r="296" spans="9:10" x14ac:dyDescent="0.25">
      <c r="I296" s="52"/>
      <c r="J296" s="52"/>
    </row>
    <row r="297" spans="9:10" x14ac:dyDescent="0.25">
      <c r="I297" s="52"/>
      <c r="J297" s="52"/>
    </row>
    <row r="298" spans="9:10" x14ac:dyDescent="0.25">
      <c r="I298" s="52"/>
      <c r="J298" s="52"/>
    </row>
    <row r="299" spans="9:10" x14ac:dyDescent="0.25">
      <c r="I299" s="52"/>
      <c r="J299" s="52"/>
    </row>
    <row r="300" spans="9:10" x14ac:dyDescent="0.25">
      <c r="I300" s="52"/>
      <c r="J300" s="52"/>
    </row>
    <row r="301" spans="9:10" x14ac:dyDescent="0.25">
      <c r="I301" s="52"/>
      <c r="J301" s="52"/>
    </row>
    <row r="302" spans="9:10" x14ac:dyDescent="0.25">
      <c r="I302" s="52"/>
      <c r="J302" s="52"/>
    </row>
    <row r="303" spans="9:10" x14ac:dyDescent="0.25">
      <c r="I303" s="52"/>
      <c r="J303" s="52"/>
    </row>
    <row r="304" spans="9:10" x14ac:dyDescent="0.25">
      <c r="I304" s="52"/>
      <c r="J304" s="52"/>
    </row>
    <row r="305" spans="9:10" x14ac:dyDescent="0.25">
      <c r="I305" s="52"/>
      <c r="J305" s="52"/>
    </row>
    <row r="306" spans="9:10" x14ac:dyDescent="0.25">
      <c r="I306" s="52"/>
      <c r="J306" s="52"/>
    </row>
    <row r="307" spans="9:10" x14ac:dyDescent="0.25">
      <c r="I307" s="52"/>
      <c r="J307" s="52"/>
    </row>
    <row r="308" spans="9:10" x14ac:dyDescent="0.25">
      <c r="I308" s="52"/>
      <c r="J308" s="52"/>
    </row>
    <row r="309" spans="9:10" x14ac:dyDescent="0.25">
      <c r="I309" s="52"/>
      <c r="J309" s="52"/>
    </row>
    <row r="310" spans="9:10" x14ac:dyDescent="0.25">
      <c r="I310" s="52"/>
      <c r="J310" s="52"/>
    </row>
    <row r="311" spans="9:10" x14ac:dyDescent="0.25">
      <c r="I311" s="52"/>
      <c r="J311" s="52"/>
    </row>
    <row r="312" spans="9:10" x14ac:dyDescent="0.25">
      <c r="I312" s="52"/>
      <c r="J312" s="52"/>
    </row>
    <row r="313" spans="9:10" x14ac:dyDescent="0.25">
      <c r="I313" s="52"/>
      <c r="J313" s="52"/>
    </row>
    <row r="314" spans="9:10" x14ac:dyDescent="0.25">
      <c r="I314" s="52"/>
      <c r="J314" s="52"/>
    </row>
    <row r="315" spans="9:10" x14ac:dyDescent="0.25">
      <c r="I315" s="52"/>
      <c r="J315" s="52"/>
    </row>
    <row r="316" spans="9:10" x14ac:dyDescent="0.25">
      <c r="I316" s="52"/>
      <c r="J316" s="52"/>
    </row>
    <row r="317" spans="9:10" x14ac:dyDescent="0.25">
      <c r="I317" s="52"/>
      <c r="J317" s="52"/>
    </row>
    <row r="318" spans="9:10" x14ac:dyDescent="0.25">
      <c r="I318" s="52"/>
      <c r="J318" s="52"/>
    </row>
    <row r="319" spans="9:10" x14ac:dyDescent="0.25">
      <c r="I319" s="52"/>
      <c r="J319" s="52"/>
    </row>
    <row r="320" spans="9:10" x14ac:dyDescent="0.25">
      <c r="I320" s="52"/>
      <c r="J320" s="52"/>
    </row>
    <row r="321" spans="9:10" x14ac:dyDescent="0.25">
      <c r="I321" s="52"/>
      <c r="J321" s="52"/>
    </row>
    <row r="322" spans="9:10" x14ac:dyDescent="0.25">
      <c r="I322" s="52"/>
      <c r="J322" s="52"/>
    </row>
    <row r="323" spans="9:10" x14ac:dyDescent="0.25">
      <c r="I323" s="52"/>
      <c r="J323" s="52"/>
    </row>
    <row r="324" spans="9:10" x14ac:dyDescent="0.25">
      <c r="I324" s="52"/>
      <c r="J324" s="52"/>
    </row>
    <row r="325" spans="9:10" x14ac:dyDescent="0.25">
      <c r="I325" s="52"/>
      <c r="J325" s="52"/>
    </row>
    <row r="326" spans="9:10" x14ac:dyDescent="0.25">
      <c r="I326" s="52"/>
      <c r="J326" s="52"/>
    </row>
    <row r="327" spans="9:10" x14ac:dyDescent="0.25">
      <c r="I327" s="52"/>
      <c r="J327" s="52"/>
    </row>
    <row r="328" spans="9:10" x14ac:dyDescent="0.25">
      <c r="I328" s="52"/>
      <c r="J328" s="52"/>
    </row>
    <row r="329" spans="9:10" x14ac:dyDescent="0.25">
      <c r="I329" s="52"/>
      <c r="J329" s="52"/>
    </row>
    <row r="330" spans="9:10" x14ac:dyDescent="0.25">
      <c r="I330" s="52"/>
      <c r="J330" s="52"/>
    </row>
    <row r="331" spans="9:10" x14ac:dyDescent="0.25">
      <c r="I331" s="52"/>
      <c r="J331" s="52"/>
    </row>
    <row r="332" spans="9:10" x14ac:dyDescent="0.25">
      <c r="I332" s="52"/>
      <c r="J332" s="52"/>
    </row>
    <row r="333" spans="9:10" x14ac:dyDescent="0.25">
      <c r="I333" s="52"/>
      <c r="J333" s="52"/>
    </row>
    <row r="334" spans="9:10" x14ac:dyDescent="0.25">
      <c r="I334" s="52"/>
      <c r="J334" s="52"/>
    </row>
    <row r="335" spans="9:10" x14ac:dyDescent="0.25">
      <c r="I335" s="52"/>
      <c r="J335" s="52"/>
    </row>
    <row r="336" spans="9:10" x14ac:dyDescent="0.25">
      <c r="I336" s="52"/>
      <c r="J336" s="52"/>
    </row>
    <row r="337" spans="9:10" x14ac:dyDescent="0.25">
      <c r="I337" s="52"/>
      <c r="J337" s="52"/>
    </row>
    <row r="338" spans="9:10" x14ac:dyDescent="0.25">
      <c r="I338" s="52"/>
      <c r="J338" s="52"/>
    </row>
    <row r="339" spans="9:10" x14ac:dyDescent="0.25">
      <c r="I339" s="52"/>
      <c r="J339" s="52"/>
    </row>
    <row r="340" spans="9:10" x14ac:dyDescent="0.25">
      <c r="I340" s="52"/>
      <c r="J340" s="52"/>
    </row>
    <row r="341" spans="9:10" x14ac:dyDescent="0.25">
      <c r="I341" s="52"/>
      <c r="J341" s="52"/>
    </row>
    <row r="342" spans="9:10" x14ac:dyDescent="0.25">
      <c r="I342" s="52"/>
      <c r="J342" s="52"/>
    </row>
    <row r="343" spans="9:10" x14ac:dyDescent="0.25">
      <c r="I343" s="52"/>
      <c r="J343" s="52"/>
    </row>
    <row r="344" spans="9:10" x14ac:dyDescent="0.25">
      <c r="I344" s="52"/>
      <c r="J344" s="52"/>
    </row>
    <row r="345" spans="9:10" x14ac:dyDescent="0.25">
      <c r="I345" s="52"/>
      <c r="J345" s="52"/>
    </row>
    <row r="346" spans="9:10" x14ac:dyDescent="0.25">
      <c r="I346" s="52"/>
      <c r="J346" s="52"/>
    </row>
    <row r="347" spans="9:10" x14ac:dyDescent="0.25">
      <c r="I347" s="52"/>
      <c r="J347" s="52"/>
    </row>
    <row r="348" spans="9:10" x14ac:dyDescent="0.25">
      <c r="I348" s="52"/>
      <c r="J348" s="52"/>
    </row>
    <row r="349" spans="9:10" x14ac:dyDescent="0.25">
      <c r="I349" s="52"/>
      <c r="J349" s="52"/>
    </row>
    <row r="350" spans="9:10" x14ac:dyDescent="0.25">
      <c r="I350" s="52"/>
      <c r="J350" s="52"/>
    </row>
    <row r="351" spans="9:10" x14ac:dyDescent="0.25">
      <c r="I351" s="52"/>
      <c r="J351" s="52"/>
    </row>
    <row r="352" spans="9:10" x14ac:dyDescent="0.25">
      <c r="I352" s="52"/>
      <c r="J352" s="52"/>
    </row>
    <row r="353" spans="9:10" x14ac:dyDescent="0.25">
      <c r="I353" s="52"/>
      <c r="J353" s="52"/>
    </row>
    <row r="354" spans="9:10" x14ac:dyDescent="0.25">
      <c r="I354" s="52"/>
      <c r="J354" s="52"/>
    </row>
    <row r="355" spans="9:10" x14ac:dyDescent="0.25">
      <c r="I355" s="52"/>
      <c r="J355" s="52"/>
    </row>
    <row r="356" spans="9:10" x14ac:dyDescent="0.25">
      <c r="I356" s="52"/>
      <c r="J356" s="52"/>
    </row>
    <row r="357" spans="9:10" x14ac:dyDescent="0.25">
      <c r="I357" s="52"/>
      <c r="J357" s="52"/>
    </row>
    <row r="358" spans="9:10" x14ac:dyDescent="0.25">
      <c r="I358" s="52"/>
      <c r="J358" s="52"/>
    </row>
    <row r="359" spans="9:10" x14ac:dyDescent="0.25">
      <c r="I359" s="52"/>
      <c r="J359" s="52"/>
    </row>
    <row r="360" spans="9:10" x14ac:dyDescent="0.25">
      <c r="I360" s="52"/>
      <c r="J360" s="52"/>
    </row>
    <row r="361" spans="9:10" x14ac:dyDescent="0.25">
      <c r="I361" s="52"/>
      <c r="J361" s="52"/>
    </row>
    <row r="362" spans="9:10" x14ac:dyDescent="0.25">
      <c r="I362" s="52"/>
      <c r="J362" s="52"/>
    </row>
    <row r="363" spans="9:10" x14ac:dyDescent="0.25">
      <c r="I363" s="52"/>
      <c r="J363" s="52"/>
    </row>
    <row r="364" spans="9:10" x14ac:dyDescent="0.25">
      <c r="I364" s="52"/>
      <c r="J364" s="52"/>
    </row>
    <row r="365" spans="9:10" x14ac:dyDescent="0.25">
      <c r="I365" s="52"/>
      <c r="J365" s="52"/>
    </row>
    <row r="366" spans="9:10" x14ac:dyDescent="0.25">
      <c r="I366" s="52"/>
      <c r="J366" s="52"/>
    </row>
    <row r="367" spans="9:10" x14ac:dyDescent="0.25">
      <c r="I367" s="52"/>
      <c r="J367" s="52"/>
    </row>
    <row r="368" spans="9:10" x14ac:dyDescent="0.25">
      <c r="I368" s="52"/>
      <c r="J368" s="52"/>
    </row>
    <row r="369" spans="9:10" x14ac:dyDescent="0.25">
      <c r="I369" s="52"/>
      <c r="J369" s="52"/>
    </row>
    <row r="370" spans="9:10" x14ac:dyDescent="0.25">
      <c r="I370" s="52"/>
      <c r="J370" s="52"/>
    </row>
    <row r="371" spans="9:10" x14ac:dyDescent="0.25">
      <c r="I371" s="52"/>
      <c r="J371" s="52"/>
    </row>
    <row r="372" spans="9:10" x14ac:dyDescent="0.25">
      <c r="I372" s="52"/>
      <c r="J372" s="52"/>
    </row>
    <row r="373" spans="9:10" x14ac:dyDescent="0.25">
      <c r="I373" s="52"/>
      <c r="J373" s="52"/>
    </row>
    <row r="374" spans="9:10" x14ac:dyDescent="0.25">
      <c r="I374" s="52"/>
      <c r="J374" s="52"/>
    </row>
    <row r="375" spans="9:10" x14ac:dyDescent="0.25">
      <c r="I375" s="52"/>
      <c r="J375" s="52"/>
    </row>
    <row r="376" spans="9:10" x14ac:dyDescent="0.25">
      <c r="I376" s="52"/>
      <c r="J376" s="52"/>
    </row>
    <row r="377" spans="9:10" x14ac:dyDescent="0.25">
      <c r="I377" s="52"/>
      <c r="J377" s="52"/>
    </row>
    <row r="378" spans="9:10" x14ac:dyDescent="0.25">
      <c r="I378" s="52"/>
      <c r="J378" s="52"/>
    </row>
    <row r="379" spans="9:10" x14ac:dyDescent="0.25">
      <c r="I379" s="52"/>
      <c r="J379" s="52"/>
    </row>
    <row r="380" spans="9:10" x14ac:dyDescent="0.25">
      <c r="I380" s="52"/>
      <c r="J380" s="52"/>
    </row>
    <row r="381" spans="9:10" x14ac:dyDescent="0.25">
      <c r="I381" s="52"/>
      <c r="J381" s="52"/>
    </row>
    <row r="382" spans="9:10" x14ac:dyDescent="0.25">
      <c r="I382" s="52"/>
      <c r="J382" s="52"/>
    </row>
    <row r="383" spans="9:10" x14ac:dyDescent="0.25">
      <c r="I383" s="52"/>
      <c r="J383" s="52"/>
    </row>
    <row r="384" spans="9:10" x14ac:dyDescent="0.25">
      <c r="I384" s="52"/>
      <c r="J384" s="52"/>
    </row>
    <row r="385" spans="9:10" x14ac:dyDescent="0.25">
      <c r="I385" s="52"/>
      <c r="J385" s="52"/>
    </row>
    <row r="386" spans="9:10" x14ac:dyDescent="0.25">
      <c r="I386" s="52"/>
      <c r="J386" s="52"/>
    </row>
    <row r="387" spans="9:10" x14ac:dyDescent="0.25">
      <c r="I387" s="52"/>
      <c r="J387" s="52"/>
    </row>
    <row r="388" spans="9:10" x14ac:dyDescent="0.25">
      <c r="I388" s="52"/>
      <c r="J388" s="52"/>
    </row>
    <row r="389" spans="9:10" x14ac:dyDescent="0.25">
      <c r="I389" s="52"/>
      <c r="J389" s="52"/>
    </row>
    <row r="390" spans="9:10" x14ac:dyDescent="0.25">
      <c r="I390" s="52"/>
      <c r="J390" s="52"/>
    </row>
    <row r="391" spans="9:10" x14ac:dyDescent="0.25">
      <c r="I391" s="52"/>
      <c r="J391" s="52"/>
    </row>
    <row r="392" spans="9:10" x14ac:dyDescent="0.25">
      <c r="I392" s="52"/>
      <c r="J392" s="52"/>
    </row>
    <row r="393" spans="9:10" x14ac:dyDescent="0.25">
      <c r="I393" s="52"/>
      <c r="J393" s="52"/>
    </row>
    <row r="394" spans="9:10" x14ac:dyDescent="0.25">
      <c r="I394" s="52"/>
      <c r="J394" s="52"/>
    </row>
    <row r="395" spans="9:10" x14ac:dyDescent="0.25">
      <c r="I395" s="52"/>
      <c r="J395" s="52"/>
    </row>
    <row r="396" spans="9:10" x14ac:dyDescent="0.25">
      <c r="I396" s="52"/>
      <c r="J396" s="52"/>
    </row>
    <row r="397" spans="9:10" x14ac:dyDescent="0.25">
      <c r="I397" s="52"/>
      <c r="J397" s="52"/>
    </row>
    <row r="398" spans="9:10" x14ac:dyDescent="0.25">
      <c r="I398" s="52"/>
      <c r="J398" s="52"/>
    </row>
    <row r="399" spans="9:10" x14ac:dyDescent="0.25">
      <c r="I399" s="52"/>
      <c r="J399" s="52"/>
    </row>
    <row r="400" spans="9:10" x14ac:dyDescent="0.25">
      <c r="I400" s="52"/>
      <c r="J400" s="52"/>
    </row>
    <row r="401" spans="9:10" x14ac:dyDescent="0.25">
      <c r="I401" s="52"/>
      <c r="J401" s="52"/>
    </row>
    <row r="402" spans="9:10" x14ac:dyDescent="0.25">
      <c r="I402" s="52"/>
      <c r="J402" s="52"/>
    </row>
    <row r="403" spans="9:10" x14ac:dyDescent="0.25">
      <c r="I403" s="52"/>
      <c r="J403" s="52"/>
    </row>
    <row r="404" spans="9:10" x14ac:dyDescent="0.25">
      <c r="I404" s="52"/>
      <c r="J404" s="52"/>
    </row>
    <row r="405" spans="9:10" x14ac:dyDescent="0.25">
      <c r="I405" s="52"/>
      <c r="J405" s="52"/>
    </row>
    <row r="406" spans="9:10" x14ac:dyDescent="0.25">
      <c r="I406" s="52"/>
      <c r="J406" s="52"/>
    </row>
    <row r="407" spans="9:10" x14ac:dyDescent="0.25">
      <c r="I407" s="52"/>
      <c r="J407" s="52"/>
    </row>
    <row r="408" spans="9:10" x14ac:dyDescent="0.25">
      <c r="I408" s="52"/>
      <c r="J408" s="52"/>
    </row>
    <row r="409" spans="9:10" x14ac:dyDescent="0.25">
      <c r="I409" s="52"/>
      <c r="J409" s="52"/>
    </row>
    <row r="410" spans="9:10" x14ac:dyDescent="0.25">
      <c r="I410" s="52"/>
      <c r="J410" s="52"/>
    </row>
    <row r="411" spans="9:10" x14ac:dyDescent="0.25">
      <c r="I411" s="52"/>
      <c r="J411" s="52"/>
    </row>
    <row r="412" spans="9:10" x14ac:dyDescent="0.25">
      <c r="I412" s="52"/>
      <c r="J412" s="52"/>
    </row>
    <row r="413" spans="9:10" x14ac:dyDescent="0.25">
      <c r="I413" s="52"/>
      <c r="J413" s="52"/>
    </row>
    <row r="414" spans="9:10" x14ac:dyDescent="0.25">
      <c r="I414" s="52"/>
      <c r="J414" s="52"/>
    </row>
    <row r="415" spans="9:10" x14ac:dyDescent="0.25">
      <c r="I415" s="52"/>
      <c r="J415" s="52"/>
    </row>
    <row r="416" spans="9:10" x14ac:dyDescent="0.25">
      <c r="I416" s="52"/>
      <c r="J416" s="52"/>
    </row>
    <row r="417" spans="9:10" x14ac:dyDescent="0.25">
      <c r="I417" s="52"/>
      <c r="J417" s="52"/>
    </row>
    <row r="418" spans="9:10" x14ac:dyDescent="0.25">
      <c r="I418" s="52"/>
      <c r="J418" s="52"/>
    </row>
    <row r="419" spans="9:10" x14ac:dyDescent="0.25">
      <c r="I419" s="52"/>
      <c r="J419" s="52"/>
    </row>
    <row r="420" spans="9:10" x14ac:dyDescent="0.25">
      <c r="I420" s="52"/>
      <c r="J420" s="52"/>
    </row>
    <row r="421" spans="9:10" x14ac:dyDescent="0.25">
      <c r="I421" s="52"/>
      <c r="J421" s="52"/>
    </row>
    <row r="422" spans="9:10" x14ac:dyDescent="0.25">
      <c r="I422" s="52"/>
      <c r="J422" s="52"/>
    </row>
    <row r="423" spans="9:10" x14ac:dyDescent="0.25">
      <c r="I423" s="52"/>
      <c r="J423" s="52"/>
    </row>
    <row r="424" spans="9:10" x14ac:dyDescent="0.25">
      <c r="I424" s="52"/>
      <c r="J424" s="52"/>
    </row>
    <row r="425" spans="9:10" x14ac:dyDescent="0.25">
      <c r="I425" s="52"/>
      <c r="J425" s="52"/>
    </row>
    <row r="426" spans="9:10" x14ac:dyDescent="0.25">
      <c r="I426" s="52"/>
      <c r="J426" s="52"/>
    </row>
    <row r="427" spans="9:10" x14ac:dyDescent="0.25">
      <c r="I427" s="52"/>
      <c r="J427" s="52"/>
    </row>
    <row r="428" spans="9:10" x14ac:dyDescent="0.25">
      <c r="I428" s="52"/>
      <c r="J428" s="52"/>
    </row>
    <row r="429" spans="9:10" x14ac:dyDescent="0.25">
      <c r="I429" s="52"/>
      <c r="J429" s="52"/>
    </row>
    <row r="430" spans="9:10" x14ac:dyDescent="0.25">
      <c r="I430" s="52"/>
      <c r="J430" s="52"/>
    </row>
    <row r="431" spans="9:10" x14ac:dyDescent="0.25">
      <c r="I431" s="52"/>
      <c r="J431" s="52"/>
    </row>
    <row r="432" spans="9:10" x14ac:dyDescent="0.25">
      <c r="I432" s="52"/>
      <c r="J432" s="52"/>
    </row>
    <row r="433" spans="9:10" x14ac:dyDescent="0.25">
      <c r="I433" s="52"/>
      <c r="J433" s="52"/>
    </row>
    <row r="434" spans="9:10" x14ac:dyDescent="0.25">
      <c r="I434" s="52"/>
      <c r="J434" s="52"/>
    </row>
    <row r="435" spans="9:10" x14ac:dyDescent="0.25">
      <c r="I435" s="52"/>
      <c r="J435" s="52"/>
    </row>
    <row r="436" spans="9:10" x14ac:dyDescent="0.25">
      <c r="I436" s="52"/>
      <c r="J436" s="52"/>
    </row>
    <row r="437" spans="9:10" x14ac:dyDescent="0.25">
      <c r="I437" s="52"/>
      <c r="J437" s="52"/>
    </row>
    <row r="438" spans="9:10" x14ac:dyDescent="0.25">
      <c r="I438" s="52"/>
      <c r="J438" s="52"/>
    </row>
    <row r="439" spans="9:10" x14ac:dyDescent="0.25">
      <c r="I439" s="52"/>
      <c r="J439" s="52"/>
    </row>
    <row r="440" spans="9:10" x14ac:dyDescent="0.25">
      <c r="I440" s="52"/>
      <c r="J440" s="52"/>
    </row>
    <row r="441" spans="9:10" x14ac:dyDescent="0.25">
      <c r="I441" s="52"/>
      <c r="J441" s="52"/>
    </row>
    <row r="442" spans="9:10" x14ac:dyDescent="0.25">
      <c r="I442" s="52"/>
      <c r="J442" s="52"/>
    </row>
    <row r="443" spans="9:10" x14ac:dyDescent="0.25">
      <c r="I443" s="52"/>
      <c r="J443" s="52"/>
    </row>
    <row r="444" spans="9:10" x14ac:dyDescent="0.25">
      <c r="I444" s="52"/>
      <c r="J444" s="52"/>
    </row>
    <row r="445" spans="9:10" x14ac:dyDescent="0.25">
      <c r="I445" s="52"/>
      <c r="J445" s="52"/>
    </row>
    <row r="446" spans="9:10" x14ac:dyDescent="0.25">
      <c r="I446" s="52"/>
      <c r="J446" s="52"/>
    </row>
    <row r="447" spans="9:10" x14ac:dyDescent="0.25">
      <c r="I447" s="52"/>
      <c r="J447" s="52"/>
    </row>
    <row r="448" spans="9:10" x14ac:dyDescent="0.25">
      <c r="I448" s="52"/>
      <c r="J448" s="52"/>
    </row>
    <row r="449" spans="9:10" x14ac:dyDescent="0.25">
      <c r="I449" s="52"/>
      <c r="J449" s="52"/>
    </row>
    <row r="450" spans="9:10" x14ac:dyDescent="0.25">
      <c r="I450" s="52"/>
      <c r="J450" s="52"/>
    </row>
    <row r="451" spans="9:10" x14ac:dyDescent="0.25">
      <c r="I451" s="52"/>
      <c r="J451" s="52"/>
    </row>
    <row r="452" spans="9:10" x14ac:dyDescent="0.25">
      <c r="I452" s="52"/>
      <c r="J452" s="52"/>
    </row>
    <row r="453" spans="9:10" x14ac:dyDescent="0.25">
      <c r="I453" s="52"/>
      <c r="J453" s="52"/>
    </row>
    <row r="454" spans="9:10" x14ac:dyDescent="0.25">
      <c r="I454" s="52"/>
      <c r="J454" s="52"/>
    </row>
    <row r="455" spans="9:10" x14ac:dyDescent="0.25">
      <c r="I455" s="52"/>
      <c r="J455" s="52"/>
    </row>
    <row r="456" spans="9:10" x14ac:dyDescent="0.25">
      <c r="I456" s="52"/>
      <c r="J456" s="52"/>
    </row>
    <row r="457" spans="9:10" x14ac:dyDescent="0.25">
      <c r="I457" s="52"/>
      <c r="J457" s="52"/>
    </row>
    <row r="458" spans="9:10" x14ac:dyDescent="0.25">
      <c r="I458" s="52"/>
      <c r="J458" s="52"/>
    </row>
    <row r="459" spans="9:10" x14ac:dyDescent="0.25">
      <c r="I459" s="52"/>
      <c r="J459" s="52"/>
    </row>
    <row r="460" spans="9:10" x14ac:dyDescent="0.25">
      <c r="I460" s="52"/>
      <c r="J460" s="52"/>
    </row>
    <row r="461" spans="9:10" x14ac:dyDescent="0.25">
      <c r="I461" s="52"/>
      <c r="J461" s="52"/>
    </row>
    <row r="462" spans="9:10" x14ac:dyDescent="0.25">
      <c r="I462" s="52"/>
      <c r="J462" s="52"/>
    </row>
    <row r="463" spans="9:10" x14ac:dyDescent="0.25">
      <c r="I463" s="52"/>
      <c r="J463" s="52"/>
    </row>
    <row r="464" spans="9:10" x14ac:dyDescent="0.25">
      <c r="I464" s="52"/>
      <c r="J464" s="52"/>
    </row>
    <row r="465" spans="9:10" x14ac:dyDescent="0.25">
      <c r="I465" s="52"/>
      <c r="J465" s="52"/>
    </row>
    <row r="466" spans="9:10" x14ac:dyDescent="0.25">
      <c r="I466" s="52"/>
      <c r="J466" s="52"/>
    </row>
    <row r="467" spans="9:10" x14ac:dyDescent="0.25">
      <c r="I467" s="52"/>
      <c r="J467" s="52"/>
    </row>
    <row r="468" spans="9:10" x14ac:dyDescent="0.25">
      <c r="I468" s="52"/>
      <c r="J468" s="52"/>
    </row>
    <row r="469" spans="9:10" x14ac:dyDescent="0.25">
      <c r="I469" s="52"/>
      <c r="J469" s="52"/>
    </row>
    <row r="470" spans="9:10" x14ac:dyDescent="0.25">
      <c r="I470" s="52"/>
      <c r="J470" s="52"/>
    </row>
    <row r="471" spans="9:10" x14ac:dyDescent="0.25">
      <c r="I471" s="52"/>
      <c r="J471" s="52"/>
    </row>
    <row r="472" spans="9:10" x14ac:dyDescent="0.25">
      <c r="I472" s="52"/>
      <c r="J472" s="52"/>
    </row>
    <row r="473" spans="9:10" x14ac:dyDescent="0.25">
      <c r="I473" s="52"/>
      <c r="J473" s="52"/>
    </row>
    <row r="474" spans="9:10" x14ac:dyDescent="0.25">
      <c r="I474" s="52"/>
      <c r="J474" s="52"/>
    </row>
    <row r="475" spans="9:10" x14ac:dyDescent="0.25">
      <c r="I475" s="52"/>
      <c r="J475" s="52"/>
    </row>
    <row r="476" spans="9:10" x14ac:dyDescent="0.25">
      <c r="I476" s="52"/>
      <c r="J476" s="52"/>
    </row>
    <row r="477" spans="9:10" x14ac:dyDescent="0.25">
      <c r="I477" s="52"/>
      <c r="J477" s="52"/>
    </row>
    <row r="478" spans="9:10" x14ac:dyDescent="0.25">
      <c r="I478" s="52"/>
      <c r="J478" s="52"/>
    </row>
    <row r="479" spans="9:10" x14ac:dyDescent="0.25">
      <c r="I479" s="52"/>
      <c r="J479" s="52"/>
    </row>
    <row r="480" spans="9:10" x14ac:dyDescent="0.25">
      <c r="I480" s="52"/>
      <c r="J480" s="52"/>
    </row>
    <row r="481" spans="9:10" x14ac:dyDescent="0.25">
      <c r="I481" s="52"/>
      <c r="J481" s="52"/>
    </row>
    <row r="482" spans="9:10" x14ac:dyDescent="0.25">
      <c r="I482" s="52"/>
      <c r="J482" s="52"/>
    </row>
    <row r="483" spans="9:10" x14ac:dyDescent="0.25">
      <c r="I483" s="52"/>
      <c r="J483" s="52"/>
    </row>
    <row r="484" spans="9:10" x14ac:dyDescent="0.25">
      <c r="I484" s="52"/>
      <c r="J484" s="52"/>
    </row>
    <row r="485" spans="9:10" x14ac:dyDescent="0.25">
      <c r="I485" s="52"/>
      <c r="J485" s="52"/>
    </row>
    <row r="486" spans="9:10" x14ac:dyDescent="0.25">
      <c r="I486" s="52"/>
      <c r="J486" s="52"/>
    </row>
    <row r="487" spans="9:10" x14ac:dyDescent="0.25">
      <c r="I487" s="52"/>
      <c r="J487" s="52"/>
    </row>
    <row r="488" spans="9:10" x14ac:dyDescent="0.25">
      <c r="I488" s="52"/>
      <c r="J488" s="52"/>
    </row>
    <row r="489" spans="9:10" x14ac:dyDescent="0.25">
      <c r="I489" s="52"/>
      <c r="J489" s="52"/>
    </row>
    <row r="490" spans="9:10" x14ac:dyDescent="0.25">
      <c r="I490" s="52"/>
      <c r="J490" s="52"/>
    </row>
    <row r="491" spans="9:10" x14ac:dyDescent="0.25">
      <c r="I491" s="52"/>
      <c r="J491" s="52"/>
    </row>
    <row r="492" spans="9:10" x14ac:dyDescent="0.25">
      <c r="I492" s="52"/>
      <c r="J492" s="52"/>
    </row>
    <row r="493" spans="9:10" x14ac:dyDescent="0.25">
      <c r="I493" s="52"/>
      <c r="J493" s="52"/>
    </row>
    <row r="494" spans="9:10" x14ac:dyDescent="0.25">
      <c r="I494" s="52"/>
      <c r="J494" s="52"/>
    </row>
    <row r="495" spans="9:10" x14ac:dyDescent="0.25">
      <c r="I495" s="52"/>
      <c r="J495" s="52"/>
    </row>
    <row r="496" spans="9:10" x14ac:dyDescent="0.25">
      <c r="I496" s="52"/>
      <c r="J496" s="52"/>
    </row>
    <row r="497" spans="9:10" x14ac:dyDescent="0.25">
      <c r="I497" s="52"/>
      <c r="J497" s="52"/>
    </row>
    <row r="498" spans="9:10" x14ac:dyDescent="0.25">
      <c r="I498" s="52"/>
      <c r="J498" s="52"/>
    </row>
    <row r="499" spans="9:10" x14ac:dyDescent="0.25">
      <c r="I499" s="52"/>
      <c r="J499" s="52"/>
    </row>
    <row r="500" spans="9:10" x14ac:dyDescent="0.25">
      <c r="I500" s="52"/>
      <c r="J500" s="52"/>
    </row>
    <row r="501" spans="9:10" x14ac:dyDescent="0.25">
      <c r="I501" s="52"/>
      <c r="J501" s="52"/>
    </row>
    <row r="502" spans="9:10" x14ac:dyDescent="0.25">
      <c r="I502" s="52"/>
      <c r="J502" s="52"/>
    </row>
    <row r="503" spans="9:10" x14ac:dyDescent="0.25">
      <c r="I503" s="52"/>
      <c r="J503" s="52"/>
    </row>
    <row r="504" spans="9:10" x14ac:dyDescent="0.25">
      <c r="I504" s="52"/>
      <c r="J504" s="52"/>
    </row>
    <row r="505" spans="9:10" x14ac:dyDescent="0.25">
      <c r="I505" s="52"/>
      <c r="J505" s="52"/>
    </row>
    <row r="506" spans="9:10" x14ac:dyDescent="0.25">
      <c r="I506" s="52"/>
      <c r="J506" s="52"/>
    </row>
    <row r="507" spans="9:10" x14ac:dyDescent="0.25">
      <c r="I507" s="52"/>
      <c r="J507" s="52"/>
    </row>
    <row r="508" spans="9:10" x14ac:dyDescent="0.25">
      <c r="I508" s="52"/>
      <c r="J508" s="52"/>
    </row>
    <row r="509" spans="9:10" x14ac:dyDescent="0.25">
      <c r="I509" s="52"/>
      <c r="J509" s="52"/>
    </row>
    <row r="510" spans="9:10" x14ac:dyDescent="0.25">
      <c r="I510" s="52"/>
      <c r="J510" s="52"/>
    </row>
    <row r="511" spans="9:10" x14ac:dyDescent="0.25">
      <c r="I511" s="52"/>
      <c r="J511" s="52"/>
    </row>
    <row r="512" spans="9:10" x14ac:dyDescent="0.25">
      <c r="I512" s="52"/>
      <c r="J512" s="52"/>
    </row>
    <row r="513" spans="9:10" x14ac:dyDescent="0.25">
      <c r="I513" s="52"/>
      <c r="J513" s="52"/>
    </row>
    <row r="514" spans="9:10" x14ac:dyDescent="0.25">
      <c r="I514" s="52"/>
      <c r="J514" s="52"/>
    </row>
    <row r="515" spans="9:10" x14ac:dyDescent="0.25">
      <c r="I515" s="52"/>
      <c r="J515" s="52"/>
    </row>
    <row r="516" spans="9:10" x14ac:dyDescent="0.25">
      <c r="I516" s="52"/>
      <c r="J516" s="52"/>
    </row>
    <row r="517" spans="9:10" x14ac:dyDescent="0.25">
      <c r="I517" s="52"/>
      <c r="J517" s="52"/>
    </row>
    <row r="518" spans="9:10" x14ac:dyDescent="0.25">
      <c r="I518" s="52"/>
      <c r="J518" s="52"/>
    </row>
    <row r="519" spans="9:10" x14ac:dyDescent="0.25">
      <c r="I519" s="52"/>
      <c r="J519" s="52"/>
    </row>
    <row r="520" spans="9:10" x14ac:dyDescent="0.25">
      <c r="I520" s="52"/>
      <c r="J520" s="52"/>
    </row>
    <row r="521" spans="9:10" x14ac:dyDescent="0.25">
      <c r="I521" s="52"/>
      <c r="J521" s="52"/>
    </row>
    <row r="522" spans="9:10" x14ac:dyDescent="0.25">
      <c r="I522" s="52"/>
      <c r="J522" s="52"/>
    </row>
    <row r="523" spans="9:10" x14ac:dyDescent="0.25">
      <c r="I523" s="52"/>
      <c r="J523" s="52"/>
    </row>
    <row r="524" spans="9:10" x14ac:dyDescent="0.25">
      <c r="I524" s="52"/>
      <c r="J524" s="52"/>
    </row>
    <row r="525" spans="9:10" x14ac:dyDescent="0.25">
      <c r="I525" s="52"/>
      <c r="J525" s="52"/>
    </row>
    <row r="526" spans="9:10" x14ac:dyDescent="0.25">
      <c r="I526" s="52"/>
      <c r="J526" s="52"/>
    </row>
    <row r="527" spans="9:10" x14ac:dyDescent="0.25">
      <c r="I527" s="52"/>
      <c r="J527" s="52"/>
    </row>
    <row r="528" spans="9:10" x14ac:dyDescent="0.25">
      <c r="I528" s="52"/>
      <c r="J528" s="52"/>
    </row>
    <row r="529" spans="9:10" x14ac:dyDescent="0.25">
      <c r="I529" s="52"/>
      <c r="J529" s="52"/>
    </row>
    <row r="530" spans="9:10" x14ac:dyDescent="0.25">
      <c r="I530" s="52"/>
      <c r="J530" s="52"/>
    </row>
    <row r="531" spans="9:10" x14ac:dyDescent="0.25">
      <c r="I531" s="52"/>
      <c r="J531" s="52"/>
    </row>
    <row r="532" spans="9:10" x14ac:dyDescent="0.25">
      <c r="I532" s="52"/>
      <c r="J532" s="52"/>
    </row>
    <row r="533" spans="9:10" x14ac:dyDescent="0.25">
      <c r="I533" s="52"/>
      <c r="J533" s="52"/>
    </row>
    <row r="534" spans="9:10" x14ac:dyDescent="0.25">
      <c r="I534" s="52"/>
      <c r="J534" s="52"/>
    </row>
    <row r="535" spans="9:10" x14ac:dyDescent="0.25">
      <c r="I535" s="52"/>
      <c r="J535" s="52"/>
    </row>
    <row r="536" spans="9:10" x14ac:dyDescent="0.25">
      <c r="I536" s="52"/>
      <c r="J536" s="52"/>
    </row>
    <row r="537" spans="9:10" x14ac:dyDescent="0.25">
      <c r="I537" s="52"/>
      <c r="J537" s="52"/>
    </row>
    <row r="538" spans="9:10" x14ac:dyDescent="0.25">
      <c r="I538" s="52"/>
      <c r="J538" s="52"/>
    </row>
    <row r="539" spans="9:10" x14ac:dyDescent="0.25">
      <c r="I539" s="52"/>
      <c r="J539" s="52"/>
    </row>
    <row r="540" spans="9:10" x14ac:dyDescent="0.25">
      <c r="I540" s="52"/>
      <c r="J540" s="52"/>
    </row>
    <row r="541" spans="9:10" x14ac:dyDescent="0.25">
      <c r="I541" s="52"/>
      <c r="J541" s="52"/>
    </row>
    <row r="542" spans="9:10" x14ac:dyDescent="0.25">
      <c r="I542" s="52"/>
      <c r="J542" s="52"/>
    </row>
    <row r="543" spans="9:10" x14ac:dyDescent="0.25">
      <c r="I543" s="52"/>
      <c r="J543" s="52"/>
    </row>
    <row r="544" spans="9:10" x14ac:dyDescent="0.25">
      <c r="I544" s="52"/>
      <c r="J544" s="52"/>
    </row>
    <row r="545" spans="9:10" x14ac:dyDescent="0.25">
      <c r="I545" s="52"/>
      <c r="J545" s="52"/>
    </row>
    <row r="546" spans="9:10" x14ac:dyDescent="0.25">
      <c r="I546" s="52"/>
      <c r="J546" s="52"/>
    </row>
    <row r="547" spans="9:10" x14ac:dyDescent="0.25">
      <c r="I547" s="52"/>
      <c r="J547" s="52"/>
    </row>
    <row r="548" spans="9:10" x14ac:dyDescent="0.25">
      <c r="I548" s="52"/>
      <c r="J548" s="52"/>
    </row>
    <row r="549" spans="9:10" x14ac:dyDescent="0.25">
      <c r="I549" s="52"/>
      <c r="J549" s="52"/>
    </row>
    <row r="550" spans="9:10" x14ac:dyDescent="0.25">
      <c r="I550" s="52"/>
      <c r="J550" s="52"/>
    </row>
    <row r="551" spans="9:10" x14ac:dyDescent="0.25">
      <c r="I551" s="52"/>
      <c r="J551" s="52"/>
    </row>
    <row r="552" spans="9:10" x14ac:dyDescent="0.25">
      <c r="I552" s="52"/>
      <c r="J552" s="52"/>
    </row>
    <row r="553" spans="9:10" x14ac:dyDescent="0.25">
      <c r="I553" s="52"/>
      <c r="J553" s="52"/>
    </row>
    <row r="554" spans="9:10" x14ac:dyDescent="0.25">
      <c r="I554" s="52"/>
      <c r="J554" s="52"/>
    </row>
    <row r="555" spans="9:10" x14ac:dyDescent="0.25">
      <c r="I555" s="52"/>
      <c r="J555" s="52"/>
    </row>
    <row r="556" spans="9:10" x14ac:dyDescent="0.25">
      <c r="I556" s="52"/>
      <c r="J556" s="52"/>
    </row>
    <row r="557" spans="9:10" x14ac:dyDescent="0.25">
      <c r="I557" s="52"/>
      <c r="J557" s="52"/>
    </row>
    <row r="558" spans="9:10" x14ac:dyDescent="0.25">
      <c r="I558" s="52"/>
      <c r="J558" s="52"/>
    </row>
    <row r="559" spans="9:10" x14ac:dyDescent="0.25">
      <c r="I559" s="52"/>
      <c r="J559" s="52"/>
    </row>
    <row r="560" spans="9:10" x14ac:dyDescent="0.25">
      <c r="I560" s="52"/>
      <c r="J560" s="52"/>
    </row>
    <row r="561" spans="9:10" x14ac:dyDescent="0.25">
      <c r="I561" s="52"/>
      <c r="J561" s="52"/>
    </row>
    <row r="562" spans="9:10" x14ac:dyDescent="0.25">
      <c r="I562" s="52"/>
      <c r="J562" s="52"/>
    </row>
    <row r="563" spans="9:10" x14ac:dyDescent="0.25">
      <c r="I563" s="52"/>
      <c r="J563" s="52"/>
    </row>
    <row r="564" spans="9:10" x14ac:dyDescent="0.25">
      <c r="I564" s="52"/>
      <c r="J564" s="52"/>
    </row>
    <row r="565" spans="9:10" x14ac:dyDescent="0.25">
      <c r="I565" s="52"/>
      <c r="J565" s="52"/>
    </row>
    <row r="566" spans="9:10" x14ac:dyDescent="0.25">
      <c r="I566" s="52"/>
      <c r="J566" s="52"/>
    </row>
    <row r="567" spans="9:10" x14ac:dyDescent="0.25">
      <c r="I567" s="52"/>
      <c r="J567" s="52"/>
    </row>
    <row r="568" spans="9:10" x14ac:dyDescent="0.25">
      <c r="I568" s="52"/>
      <c r="J568" s="52"/>
    </row>
    <row r="569" spans="9:10" x14ac:dyDescent="0.25">
      <c r="I569" s="52"/>
      <c r="J569" s="52"/>
    </row>
    <row r="570" spans="9:10" x14ac:dyDescent="0.25">
      <c r="I570" s="52"/>
      <c r="J570" s="52"/>
    </row>
    <row r="571" spans="9:10" x14ac:dyDescent="0.25">
      <c r="I571" s="52"/>
      <c r="J571" s="52"/>
    </row>
    <row r="572" spans="9:10" x14ac:dyDescent="0.25">
      <c r="I572" s="52"/>
      <c r="J572" s="52"/>
    </row>
    <row r="573" spans="9:10" x14ac:dyDescent="0.25">
      <c r="I573" s="52"/>
      <c r="J573" s="52"/>
    </row>
    <row r="574" spans="9:10" x14ac:dyDescent="0.25">
      <c r="I574" s="52"/>
      <c r="J574" s="52"/>
    </row>
    <row r="575" spans="9:10" x14ac:dyDescent="0.25">
      <c r="I575" s="52"/>
      <c r="J575" s="52"/>
    </row>
    <row r="576" spans="9:10" x14ac:dyDescent="0.25">
      <c r="I576" s="52"/>
      <c r="J576" s="52"/>
    </row>
    <row r="577" spans="9:10" x14ac:dyDescent="0.25">
      <c r="I577" s="52"/>
      <c r="J577" s="52"/>
    </row>
    <row r="578" spans="9:10" x14ac:dyDescent="0.25">
      <c r="I578" s="52"/>
      <c r="J578" s="52"/>
    </row>
    <row r="579" spans="9:10" x14ac:dyDescent="0.25">
      <c r="I579" s="52"/>
      <c r="J579" s="52"/>
    </row>
    <row r="580" spans="9:10" x14ac:dyDescent="0.25">
      <c r="I580" s="52"/>
      <c r="J580" s="52"/>
    </row>
    <row r="581" spans="9:10" x14ac:dyDescent="0.25">
      <c r="I581" s="52"/>
      <c r="J581" s="52"/>
    </row>
    <row r="582" spans="9:10" x14ac:dyDescent="0.25">
      <c r="I582" s="52"/>
      <c r="J582" s="52"/>
    </row>
    <row r="583" spans="9:10" x14ac:dyDescent="0.25">
      <c r="I583" s="52"/>
      <c r="J583" s="52"/>
    </row>
    <row r="584" spans="9:10" x14ac:dyDescent="0.25">
      <c r="I584" s="52"/>
      <c r="J584" s="52"/>
    </row>
    <row r="585" spans="9:10" x14ac:dyDescent="0.25">
      <c r="I585" s="52"/>
      <c r="J585" s="52"/>
    </row>
    <row r="586" spans="9:10" x14ac:dyDescent="0.25">
      <c r="I586" s="52"/>
      <c r="J586" s="52"/>
    </row>
    <row r="587" spans="9:10" x14ac:dyDescent="0.25">
      <c r="I587" s="52"/>
      <c r="J587" s="52"/>
    </row>
    <row r="588" spans="9:10" x14ac:dyDescent="0.25">
      <c r="I588" s="52"/>
      <c r="J588" s="52"/>
    </row>
    <row r="589" spans="9:10" x14ac:dyDescent="0.25">
      <c r="I589" s="52"/>
      <c r="J589" s="52"/>
    </row>
    <row r="590" spans="9:10" x14ac:dyDescent="0.25">
      <c r="I590" s="52"/>
      <c r="J590" s="52"/>
    </row>
    <row r="591" spans="9:10" x14ac:dyDescent="0.25">
      <c r="I591" s="52"/>
      <c r="J591" s="52"/>
    </row>
    <row r="592" spans="9:10" x14ac:dyDescent="0.25">
      <c r="I592" s="52"/>
      <c r="J592" s="52"/>
    </row>
    <row r="593" spans="9:10" x14ac:dyDescent="0.25">
      <c r="I593" s="52"/>
      <c r="J593" s="52"/>
    </row>
    <row r="594" spans="9:10" x14ac:dyDescent="0.25">
      <c r="I594" s="52"/>
      <c r="J594" s="52"/>
    </row>
    <row r="595" spans="9:10" x14ac:dyDescent="0.25">
      <c r="I595" s="52"/>
      <c r="J595" s="52"/>
    </row>
    <row r="596" spans="9:10" x14ac:dyDescent="0.25">
      <c r="I596" s="52"/>
      <c r="J596" s="52"/>
    </row>
    <row r="597" spans="9:10" x14ac:dyDescent="0.25">
      <c r="I597" s="52"/>
      <c r="J597" s="52"/>
    </row>
    <row r="598" spans="9:10" x14ac:dyDescent="0.25">
      <c r="I598" s="52"/>
      <c r="J598" s="52"/>
    </row>
    <row r="599" spans="9:10" x14ac:dyDescent="0.25">
      <c r="I599" s="52"/>
      <c r="J599" s="52"/>
    </row>
    <row r="600" spans="9:10" x14ac:dyDescent="0.25">
      <c r="I600" s="52"/>
      <c r="J600" s="52"/>
    </row>
    <row r="601" spans="9:10" x14ac:dyDescent="0.25">
      <c r="I601" s="52"/>
      <c r="J601" s="52"/>
    </row>
    <row r="602" spans="9:10" x14ac:dyDescent="0.25">
      <c r="I602" s="52"/>
      <c r="J602" s="52"/>
    </row>
    <row r="603" spans="9:10" x14ac:dyDescent="0.25">
      <c r="I603" s="52"/>
      <c r="J603" s="52"/>
    </row>
    <row r="604" spans="9:10" x14ac:dyDescent="0.25">
      <c r="I604" s="52"/>
      <c r="J604" s="52"/>
    </row>
    <row r="605" spans="9:10" x14ac:dyDescent="0.25">
      <c r="I605" s="52"/>
      <c r="J605" s="52"/>
    </row>
    <row r="606" spans="9:10" x14ac:dyDescent="0.25">
      <c r="I606" s="52"/>
      <c r="J606" s="52"/>
    </row>
    <row r="607" spans="9:10" x14ac:dyDescent="0.25">
      <c r="I607" s="52"/>
      <c r="J607" s="52"/>
    </row>
    <row r="608" spans="9:10" x14ac:dyDescent="0.25">
      <c r="I608" s="52"/>
      <c r="J608" s="52"/>
    </row>
    <row r="609" spans="9:10" x14ac:dyDescent="0.25">
      <c r="I609" s="52"/>
      <c r="J609" s="52"/>
    </row>
    <row r="610" spans="9:10" x14ac:dyDescent="0.25">
      <c r="I610" s="52"/>
      <c r="J610" s="52"/>
    </row>
    <row r="611" spans="9:10" x14ac:dyDescent="0.25">
      <c r="I611" s="52"/>
      <c r="J611" s="52"/>
    </row>
    <row r="612" spans="9:10" x14ac:dyDescent="0.25">
      <c r="I612" s="52"/>
      <c r="J612" s="52"/>
    </row>
    <row r="613" spans="9:10" x14ac:dyDescent="0.25">
      <c r="I613" s="52"/>
      <c r="J613" s="52"/>
    </row>
    <row r="614" spans="9:10" x14ac:dyDescent="0.25">
      <c r="I614" s="52"/>
      <c r="J614" s="52"/>
    </row>
    <row r="615" spans="9:10" x14ac:dyDescent="0.25">
      <c r="I615" s="52"/>
      <c r="J615" s="52"/>
    </row>
    <row r="616" spans="9:10" x14ac:dyDescent="0.25">
      <c r="I616" s="52"/>
      <c r="J616" s="52"/>
    </row>
    <row r="617" spans="9:10" x14ac:dyDescent="0.25">
      <c r="I617" s="52"/>
      <c r="J617" s="52"/>
    </row>
    <row r="618" spans="9:10" x14ac:dyDescent="0.25">
      <c r="I618" s="52"/>
      <c r="J618" s="52"/>
    </row>
    <row r="619" spans="9:10" x14ac:dyDescent="0.25">
      <c r="I619" s="52"/>
      <c r="J619" s="52"/>
    </row>
    <row r="620" spans="9:10" x14ac:dyDescent="0.25">
      <c r="I620" s="52"/>
      <c r="J620" s="52"/>
    </row>
    <row r="621" spans="9:10" x14ac:dyDescent="0.25">
      <c r="I621" s="52"/>
      <c r="J621" s="52"/>
    </row>
    <row r="622" spans="9:10" x14ac:dyDescent="0.25">
      <c r="I622" s="52"/>
      <c r="J622" s="52"/>
    </row>
    <row r="623" spans="9:10" x14ac:dyDescent="0.25">
      <c r="I623" s="52"/>
      <c r="J623" s="52"/>
    </row>
    <row r="624" spans="9:10" x14ac:dyDescent="0.25">
      <c r="I624" s="52"/>
      <c r="J624" s="52"/>
    </row>
    <row r="625" spans="9:10" x14ac:dyDescent="0.25">
      <c r="I625" s="52"/>
      <c r="J625" s="52"/>
    </row>
    <row r="626" spans="9:10" x14ac:dyDescent="0.25">
      <c r="I626" s="52"/>
      <c r="J626" s="52"/>
    </row>
    <row r="627" spans="9:10" x14ac:dyDescent="0.25">
      <c r="I627" s="52"/>
      <c r="J627" s="52"/>
    </row>
    <row r="628" spans="9:10" x14ac:dyDescent="0.25">
      <c r="I628" s="52"/>
      <c r="J628" s="52"/>
    </row>
    <row r="629" spans="9:10" x14ac:dyDescent="0.25">
      <c r="I629" s="52"/>
      <c r="J629" s="52"/>
    </row>
    <row r="630" spans="9:10" x14ac:dyDescent="0.25">
      <c r="I630" s="52"/>
      <c r="J630" s="52"/>
    </row>
    <row r="631" spans="9:10" x14ac:dyDescent="0.25">
      <c r="I631" s="52"/>
      <c r="J631" s="52"/>
    </row>
    <row r="632" spans="9:10" x14ac:dyDescent="0.25">
      <c r="I632" s="52"/>
      <c r="J632" s="52"/>
    </row>
    <row r="633" spans="9:10" x14ac:dyDescent="0.25">
      <c r="I633" s="52"/>
      <c r="J633" s="52"/>
    </row>
    <row r="634" spans="9:10" x14ac:dyDescent="0.25">
      <c r="I634" s="52"/>
      <c r="J634" s="52"/>
    </row>
    <row r="635" spans="9:10" x14ac:dyDescent="0.25">
      <c r="I635" s="52"/>
      <c r="J635" s="52"/>
    </row>
    <row r="636" spans="9:10" x14ac:dyDescent="0.25">
      <c r="I636" s="52"/>
      <c r="J636" s="52"/>
    </row>
    <row r="637" spans="9:10" x14ac:dyDescent="0.25">
      <c r="I637" s="52"/>
      <c r="J637" s="52"/>
    </row>
    <row r="638" spans="9:10" x14ac:dyDescent="0.25">
      <c r="I638" s="52"/>
      <c r="J638" s="52"/>
    </row>
    <row r="639" spans="9:10" x14ac:dyDescent="0.25">
      <c r="I639" s="52"/>
      <c r="J639" s="52"/>
    </row>
    <row r="640" spans="9:10" x14ac:dyDescent="0.25">
      <c r="I640" s="52"/>
      <c r="J640" s="52"/>
    </row>
    <row r="641" spans="9:10" x14ac:dyDescent="0.25">
      <c r="I641" s="52"/>
      <c r="J641" s="52"/>
    </row>
    <row r="642" spans="9:10" x14ac:dyDescent="0.25">
      <c r="I642" s="52"/>
      <c r="J642" s="52"/>
    </row>
    <row r="643" spans="9:10" x14ac:dyDescent="0.25">
      <c r="I643" s="52"/>
      <c r="J643" s="52"/>
    </row>
    <row r="644" spans="9:10" x14ac:dyDescent="0.25">
      <c r="I644" s="52"/>
      <c r="J644" s="52"/>
    </row>
    <row r="645" spans="9:10" x14ac:dyDescent="0.25">
      <c r="I645" s="52"/>
      <c r="J645" s="52"/>
    </row>
    <row r="646" spans="9:10" x14ac:dyDescent="0.25">
      <c r="I646" s="52"/>
      <c r="J646" s="52"/>
    </row>
    <row r="647" spans="9:10" x14ac:dyDescent="0.25">
      <c r="I647" s="52"/>
      <c r="J647" s="52"/>
    </row>
    <row r="648" spans="9:10" x14ac:dyDescent="0.25">
      <c r="I648" s="52"/>
      <c r="J648" s="52"/>
    </row>
    <row r="649" spans="9:10" x14ac:dyDescent="0.25">
      <c r="I649" s="52"/>
      <c r="J649" s="52"/>
    </row>
    <row r="650" spans="9:10" x14ac:dyDescent="0.25">
      <c r="I650" s="52"/>
      <c r="J650" s="52"/>
    </row>
    <row r="651" spans="9:10" x14ac:dyDescent="0.25">
      <c r="I651" s="52"/>
      <c r="J651" s="52"/>
    </row>
    <row r="652" spans="9:10" x14ac:dyDescent="0.25">
      <c r="I652" s="52"/>
      <c r="J652" s="52"/>
    </row>
    <row r="653" spans="9:10" x14ac:dyDescent="0.25">
      <c r="I653" s="52"/>
      <c r="J653" s="52"/>
    </row>
    <row r="654" spans="9:10" x14ac:dyDescent="0.25">
      <c r="I654" s="52"/>
      <c r="J654" s="52"/>
    </row>
    <row r="655" spans="9:10" x14ac:dyDescent="0.25">
      <c r="I655" s="52"/>
      <c r="J655" s="52"/>
    </row>
    <row r="656" spans="9:10" x14ac:dyDescent="0.25">
      <c r="I656" s="52"/>
      <c r="J656" s="52"/>
    </row>
    <row r="657" spans="9:10" x14ac:dyDescent="0.25">
      <c r="I657" s="52"/>
      <c r="J657" s="52"/>
    </row>
    <row r="658" spans="9:10" x14ac:dyDescent="0.25">
      <c r="I658" s="52"/>
      <c r="J658" s="52"/>
    </row>
    <row r="659" spans="9:10" x14ac:dyDescent="0.25">
      <c r="I659" s="52"/>
      <c r="J659" s="52"/>
    </row>
    <row r="660" spans="9:10" x14ac:dyDescent="0.25">
      <c r="I660" s="52"/>
      <c r="J660" s="52"/>
    </row>
    <row r="661" spans="9:10" x14ac:dyDescent="0.25">
      <c r="I661" s="52"/>
      <c r="J661" s="52"/>
    </row>
    <row r="662" spans="9:10" x14ac:dyDescent="0.25">
      <c r="I662" s="52"/>
      <c r="J662" s="52"/>
    </row>
    <row r="663" spans="9:10" x14ac:dyDescent="0.25">
      <c r="I663" s="52"/>
      <c r="J663" s="52"/>
    </row>
    <row r="664" spans="9:10" x14ac:dyDescent="0.25">
      <c r="I664" s="52"/>
      <c r="J664" s="52"/>
    </row>
    <row r="665" spans="9:10" x14ac:dyDescent="0.25">
      <c r="I665" s="52"/>
      <c r="J665" s="52"/>
    </row>
    <row r="666" spans="9:10" x14ac:dyDescent="0.25">
      <c r="I666" s="52"/>
      <c r="J666" s="52"/>
    </row>
    <row r="667" spans="9:10" x14ac:dyDescent="0.25">
      <c r="I667" s="52"/>
      <c r="J667" s="52"/>
    </row>
    <row r="668" spans="9:10" x14ac:dyDescent="0.25">
      <c r="I668" s="52"/>
      <c r="J668" s="52"/>
    </row>
    <row r="669" spans="9:10" x14ac:dyDescent="0.25">
      <c r="I669" s="52"/>
      <c r="J669" s="52"/>
    </row>
    <row r="670" spans="9:10" x14ac:dyDescent="0.25">
      <c r="I670" s="52"/>
      <c r="J670" s="52"/>
    </row>
    <row r="671" spans="9:10" x14ac:dyDescent="0.25">
      <c r="I671" s="52"/>
      <c r="J671" s="52"/>
    </row>
    <row r="672" spans="9:10" x14ac:dyDescent="0.25">
      <c r="I672" s="52"/>
      <c r="J672" s="52"/>
    </row>
    <row r="673" spans="9:10" x14ac:dyDescent="0.25">
      <c r="I673" s="52"/>
      <c r="J673" s="52"/>
    </row>
    <row r="674" spans="9:10" x14ac:dyDescent="0.25">
      <c r="I674" s="52"/>
      <c r="J674" s="52"/>
    </row>
    <row r="675" spans="9:10" x14ac:dyDescent="0.25">
      <c r="I675" s="52"/>
      <c r="J675" s="52"/>
    </row>
    <row r="676" spans="9:10" x14ac:dyDescent="0.25">
      <c r="I676" s="52"/>
      <c r="J676" s="52"/>
    </row>
    <row r="677" spans="9:10" x14ac:dyDescent="0.25">
      <c r="I677" s="52"/>
      <c r="J677" s="52"/>
    </row>
    <row r="678" spans="9:10" x14ac:dyDescent="0.25">
      <c r="I678" s="52"/>
      <c r="J678" s="52"/>
    </row>
    <row r="679" spans="9:10" x14ac:dyDescent="0.25">
      <c r="I679" s="52"/>
      <c r="J679" s="52"/>
    </row>
    <row r="680" spans="9:10" x14ac:dyDescent="0.25">
      <c r="I680" s="52"/>
      <c r="J680" s="52"/>
    </row>
    <row r="681" spans="9:10" x14ac:dyDescent="0.25">
      <c r="I681" s="52"/>
      <c r="J681" s="52"/>
    </row>
    <row r="682" spans="9:10" x14ac:dyDescent="0.25">
      <c r="I682" s="52"/>
      <c r="J682" s="52"/>
    </row>
    <row r="683" spans="9:10" x14ac:dyDescent="0.25">
      <c r="I683" s="52"/>
      <c r="J683" s="52"/>
    </row>
    <row r="684" spans="9:10" x14ac:dyDescent="0.25">
      <c r="I684" s="52"/>
      <c r="J684" s="52"/>
    </row>
    <row r="685" spans="9:10" x14ac:dyDescent="0.25">
      <c r="I685" s="52"/>
      <c r="J685" s="52"/>
    </row>
    <row r="686" spans="9:10" x14ac:dyDescent="0.25">
      <c r="I686" s="52"/>
      <c r="J686" s="52"/>
    </row>
    <row r="687" spans="9:10" x14ac:dyDescent="0.25">
      <c r="I687" s="52"/>
      <c r="J687" s="52"/>
    </row>
    <row r="688" spans="9:10" x14ac:dyDescent="0.25">
      <c r="I688" s="52"/>
      <c r="J688" s="52"/>
    </row>
    <row r="689" spans="9:10" x14ac:dyDescent="0.25">
      <c r="I689" s="52"/>
      <c r="J689" s="52"/>
    </row>
    <row r="690" spans="9:10" x14ac:dyDescent="0.25">
      <c r="I690" s="52"/>
      <c r="J690" s="52"/>
    </row>
    <row r="691" spans="9:10" x14ac:dyDescent="0.25">
      <c r="I691" s="52"/>
      <c r="J691" s="52"/>
    </row>
    <row r="692" spans="9:10" x14ac:dyDescent="0.25">
      <c r="I692" s="52"/>
      <c r="J692" s="52"/>
    </row>
    <row r="693" spans="9:10" x14ac:dyDescent="0.25">
      <c r="I693" s="52"/>
      <c r="J693" s="52"/>
    </row>
    <row r="694" spans="9:10" x14ac:dyDescent="0.25">
      <c r="I694" s="52"/>
      <c r="J694" s="52"/>
    </row>
    <row r="695" spans="9:10" x14ac:dyDescent="0.25">
      <c r="I695" s="52"/>
      <c r="J695" s="52"/>
    </row>
    <row r="696" spans="9:10" x14ac:dyDescent="0.25">
      <c r="I696" s="52"/>
      <c r="J696" s="52"/>
    </row>
    <row r="697" spans="9:10" x14ac:dyDescent="0.25">
      <c r="I697" s="52"/>
      <c r="J697" s="52"/>
    </row>
    <row r="698" spans="9:10" x14ac:dyDescent="0.25">
      <c r="I698" s="52"/>
      <c r="J698" s="52"/>
    </row>
    <row r="699" spans="9:10" x14ac:dyDescent="0.25">
      <c r="I699" s="52"/>
      <c r="J699" s="52"/>
    </row>
    <row r="700" spans="9:10" x14ac:dyDescent="0.25">
      <c r="I700" s="52"/>
      <c r="J700" s="52"/>
    </row>
    <row r="701" spans="9:10" x14ac:dyDescent="0.25">
      <c r="I701" s="52"/>
      <c r="J701" s="52"/>
    </row>
    <row r="702" spans="9:10" x14ac:dyDescent="0.25">
      <c r="I702" s="52"/>
      <c r="J702" s="52"/>
    </row>
    <row r="703" spans="9:10" x14ac:dyDescent="0.25">
      <c r="I703" s="52"/>
      <c r="J703" s="52"/>
    </row>
    <row r="704" spans="9:10" x14ac:dyDescent="0.25">
      <c r="I704" s="52"/>
      <c r="J704" s="52"/>
    </row>
    <row r="705" spans="9:10" x14ac:dyDescent="0.25">
      <c r="I705" s="52"/>
      <c r="J705" s="52"/>
    </row>
    <row r="706" spans="9:10" x14ac:dyDescent="0.25">
      <c r="I706" s="52"/>
      <c r="J706" s="52"/>
    </row>
    <row r="707" spans="9:10" x14ac:dyDescent="0.25">
      <c r="I707" s="52"/>
      <c r="J707" s="52"/>
    </row>
    <row r="708" spans="9:10" x14ac:dyDescent="0.25">
      <c r="I708" s="52"/>
      <c r="J708" s="52"/>
    </row>
    <row r="709" spans="9:10" x14ac:dyDescent="0.25">
      <c r="I709" s="52"/>
      <c r="J709" s="52"/>
    </row>
    <row r="710" spans="9:10" x14ac:dyDescent="0.25">
      <c r="I710" s="52"/>
      <c r="J710" s="52"/>
    </row>
    <row r="711" spans="9:10" x14ac:dyDescent="0.25">
      <c r="I711" s="52"/>
      <c r="J711" s="52"/>
    </row>
    <row r="712" spans="9:10" x14ac:dyDescent="0.25">
      <c r="I712" s="52"/>
      <c r="J712" s="52"/>
    </row>
    <row r="713" spans="9:10" x14ac:dyDescent="0.25">
      <c r="I713" s="52"/>
      <c r="J713" s="52"/>
    </row>
    <row r="714" spans="9:10" x14ac:dyDescent="0.25">
      <c r="I714" s="52"/>
      <c r="J714" s="52"/>
    </row>
    <row r="715" spans="9:10" x14ac:dyDescent="0.25">
      <c r="I715" s="52"/>
      <c r="J715" s="52"/>
    </row>
    <row r="716" spans="9:10" x14ac:dyDescent="0.25">
      <c r="I716" s="52"/>
      <c r="J716" s="52"/>
    </row>
    <row r="717" spans="9:10" x14ac:dyDescent="0.25">
      <c r="I717" s="52"/>
      <c r="J717" s="52"/>
    </row>
    <row r="718" spans="9:10" x14ac:dyDescent="0.25">
      <c r="I718" s="52"/>
      <c r="J718" s="52"/>
    </row>
    <row r="719" spans="9:10" x14ac:dyDescent="0.25">
      <c r="I719" s="52"/>
      <c r="J719" s="52"/>
    </row>
    <row r="720" spans="9:10" x14ac:dyDescent="0.25">
      <c r="I720" s="52"/>
      <c r="J720" s="52"/>
    </row>
    <row r="721" spans="9:10" x14ac:dyDescent="0.25">
      <c r="I721" s="52"/>
      <c r="J721" s="52"/>
    </row>
    <row r="722" spans="9:10" x14ac:dyDescent="0.25">
      <c r="I722" s="52"/>
      <c r="J722" s="52"/>
    </row>
    <row r="723" spans="9:10" x14ac:dyDescent="0.25">
      <c r="I723" s="52"/>
      <c r="J723" s="52"/>
    </row>
    <row r="724" spans="9:10" x14ac:dyDescent="0.25">
      <c r="I724" s="52"/>
      <c r="J724" s="52"/>
    </row>
    <row r="725" spans="9:10" x14ac:dyDescent="0.25">
      <c r="I725" s="52"/>
      <c r="J725" s="52"/>
    </row>
    <row r="726" spans="9:10" x14ac:dyDescent="0.25">
      <c r="I726" s="52"/>
      <c r="J726" s="52"/>
    </row>
    <row r="727" spans="9:10" x14ac:dyDescent="0.25">
      <c r="I727" s="52"/>
      <c r="J727" s="52"/>
    </row>
    <row r="728" spans="9:10" x14ac:dyDescent="0.25">
      <c r="I728" s="52"/>
      <c r="J728" s="52"/>
    </row>
    <row r="729" spans="9:10" x14ac:dyDescent="0.25">
      <c r="I729" s="52"/>
      <c r="J729" s="52"/>
    </row>
    <row r="730" spans="9:10" x14ac:dyDescent="0.25">
      <c r="I730" s="52"/>
      <c r="J730" s="52"/>
    </row>
    <row r="731" spans="9:10" x14ac:dyDescent="0.25">
      <c r="I731" s="52"/>
      <c r="J731" s="52"/>
    </row>
    <row r="732" spans="9:10" x14ac:dyDescent="0.25">
      <c r="I732" s="52"/>
      <c r="J732" s="52"/>
    </row>
    <row r="733" spans="9:10" x14ac:dyDescent="0.25">
      <c r="I733" s="52"/>
      <c r="J733" s="52"/>
    </row>
    <row r="734" spans="9:10" x14ac:dyDescent="0.25">
      <c r="I734" s="52"/>
      <c r="J734" s="52"/>
    </row>
    <row r="735" spans="9:10" x14ac:dyDescent="0.25">
      <c r="I735" s="52"/>
      <c r="J735" s="52"/>
    </row>
    <row r="736" spans="9:10" x14ac:dyDescent="0.25">
      <c r="I736" s="52"/>
      <c r="J736" s="52"/>
    </row>
    <row r="737" spans="9:10" x14ac:dyDescent="0.25">
      <c r="I737" s="52"/>
      <c r="J737" s="52"/>
    </row>
    <row r="738" spans="9:10" x14ac:dyDescent="0.25">
      <c r="I738" s="52"/>
      <c r="J738" s="52"/>
    </row>
    <row r="739" spans="9:10" x14ac:dyDescent="0.25">
      <c r="I739" s="52"/>
      <c r="J739" s="52"/>
    </row>
    <row r="740" spans="9:10" x14ac:dyDescent="0.25">
      <c r="I740" s="52"/>
      <c r="J740" s="52"/>
    </row>
    <row r="741" spans="9:10" x14ac:dyDescent="0.25">
      <c r="I741" s="52"/>
      <c r="J741" s="52"/>
    </row>
    <row r="742" spans="9:10" x14ac:dyDescent="0.25">
      <c r="I742" s="52"/>
      <c r="J742" s="52"/>
    </row>
    <row r="743" spans="9:10" x14ac:dyDescent="0.25">
      <c r="I743" s="52"/>
      <c r="J743" s="52"/>
    </row>
    <row r="744" spans="9:10" x14ac:dyDescent="0.25">
      <c r="I744" s="52"/>
      <c r="J744" s="52"/>
    </row>
    <row r="745" spans="9:10" x14ac:dyDescent="0.25">
      <c r="I745" s="52"/>
      <c r="J745" s="52"/>
    </row>
    <row r="746" spans="9:10" x14ac:dyDescent="0.25">
      <c r="I746" s="52"/>
      <c r="J746" s="52"/>
    </row>
    <row r="747" spans="9:10" x14ac:dyDescent="0.25">
      <c r="I747" s="52"/>
      <c r="J747" s="52"/>
    </row>
    <row r="748" spans="9:10" x14ac:dyDescent="0.25">
      <c r="I748" s="52"/>
      <c r="J748" s="52"/>
    </row>
    <row r="749" spans="9:10" x14ac:dyDescent="0.25">
      <c r="I749" s="52"/>
      <c r="J749" s="52"/>
    </row>
    <row r="750" spans="9:10" x14ac:dyDescent="0.25">
      <c r="I750" s="52"/>
      <c r="J750" s="52"/>
    </row>
    <row r="751" spans="9:10" x14ac:dyDescent="0.25">
      <c r="I751" s="52"/>
      <c r="J751" s="52"/>
    </row>
    <row r="752" spans="9:10" x14ac:dyDescent="0.25">
      <c r="I752" s="52"/>
      <c r="J752" s="52"/>
    </row>
    <row r="753" spans="9:10" x14ac:dyDescent="0.25">
      <c r="I753" s="52"/>
      <c r="J753" s="52"/>
    </row>
    <row r="754" spans="9:10" x14ac:dyDescent="0.25">
      <c r="I754" s="52"/>
      <c r="J754" s="52"/>
    </row>
    <row r="755" spans="9:10" x14ac:dyDescent="0.25">
      <c r="I755" s="52"/>
      <c r="J755" s="52"/>
    </row>
    <row r="756" spans="9:10" x14ac:dyDescent="0.25">
      <c r="I756" s="52"/>
      <c r="J756" s="52"/>
    </row>
    <row r="757" spans="9:10" x14ac:dyDescent="0.25">
      <c r="I757" s="52"/>
      <c r="J757" s="52"/>
    </row>
    <row r="758" spans="9:10" x14ac:dyDescent="0.25">
      <c r="I758" s="52"/>
      <c r="J758" s="52"/>
    </row>
    <row r="759" spans="9:10" x14ac:dyDescent="0.25">
      <c r="I759" s="52"/>
      <c r="J759" s="52"/>
    </row>
    <row r="760" spans="9:10" x14ac:dyDescent="0.25">
      <c r="I760" s="52"/>
      <c r="J760" s="52"/>
    </row>
    <row r="761" spans="9:10" x14ac:dyDescent="0.25">
      <c r="I761" s="52"/>
      <c r="J761" s="52"/>
    </row>
    <row r="762" spans="9:10" x14ac:dyDescent="0.25">
      <c r="I762" s="52"/>
      <c r="J762" s="52"/>
    </row>
    <row r="763" spans="9:10" x14ac:dyDescent="0.25">
      <c r="I763" s="52"/>
      <c r="J763" s="52"/>
    </row>
    <row r="764" spans="9:10" x14ac:dyDescent="0.25">
      <c r="I764" s="52"/>
      <c r="J764" s="52"/>
    </row>
    <row r="765" spans="9:10" x14ac:dyDescent="0.25">
      <c r="I765" s="52"/>
      <c r="J765" s="52"/>
    </row>
    <row r="766" spans="9:10" x14ac:dyDescent="0.25">
      <c r="I766" s="52"/>
      <c r="J766" s="52"/>
    </row>
    <row r="767" spans="9:10" x14ac:dyDescent="0.25">
      <c r="I767" s="52"/>
      <c r="J767" s="52"/>
    </row>
    <row r="768" spans="9:10" x14ac:dyDescent="0.25">
      <c r="I768" s="52"/>
      <c r="J768" s="52"/>
    </row>
    <row r="769" spans="9:10" x14ac:dyDescent="0.25">
      <c r="I769" s="52"/>
      <c r="J769" s="52"/>
    </row>
    <row r="770" spans="9:10" x14ac:dyDescent="0.25">
      <c r="I770" s="52"/>
      <c r="J770" s="52"/>
    </row>
    <row r="771" spans="9:10" x14ac:dyDescent="0.25">
      <c r="I771" s="52"/>
      <c r="J771" s="52"/>
    </row>
    <row r="772" spans="9:10" x14ac:dyDescent="0.25">
      <c r="I772" s="52"/>
      <c r="J772" s="52"/>
    </row>
    <row r="773" spans="9:10" x14ac:dyDescent="0.25">
      <c r="I773" s="52"/>
      <c r="J773" s="52"/>
    </row>
    <row r="774" spans="9:10" x14ac:dyDescent="0.25">
      <c r="I774" s="52"/>
      <c r="J774" s="52"/>
    </row>
    <row r="775" spans="9:10" x14ac:dyDescent="0.25">
      <c r="I775" s="52"/>
      <c r="J775" s="52"/>
    </row>
    <row r="776" spans="9:10" x14ac:dyDescent="0.25">
      <c r="I776" s="52"/>
      <c r="J776" s="52"/>
    </row>
    <row r="777" spans="9:10" x14ac:dyDescent="0.25">
      <c r="I777" s="52"/>
      <c r="J777" s="52"/>
    </row>
    <row r="778" spans="9:10" x14ac:dyDescent="0.25">
      <c r="I778" s="52"/>
      <c r="J778" s="52"/>
    </row>
    <row r="779" spans="9:10" x14ac:dyDescent="0.25">
      <c r="I779" s="52"/>
      <c r="J779" s="52"/>
    </row>
    <row r="780" spans="9:10" x14ac:dyDescent="0.25">
      <c r="I780" s="52"/>
      <c r="J780" s="52"/>
    </row>
    <row r="781" spans="9:10" x14ac:dyDescent="0.25">
      <c r="I781" s="52"/>
      <c r="J781" s="52"/>
    </row>
    <row r="782" spans="9:10" x14ac:dyDescent="0.25">
      <c r="I782" s="52"/>
      <c r="J782" s="52"/>
    </row>
    <row r="783" spans="9:10" x14ac:dyDescent="0.25">
      <c r="I783" s="52"/>
      <c r="J783" s="52"/>
    </row>
    <row r="784" spans="9:10" x14ac:dyDescent="0.25">
      <c r="I784" s="52"/>
      <c r="J784" s="52"/>
    </row>
    <row r="785" spans="9:10" x14ac:dyDescent="0.25">
      <c r="I785" s="52"/>
      <c r="J785" s="52"/>
    </row>
    <row r="786" spans="9:10" x14ac:dyDescent="0.25">
      <c r="I786" s="52"/>
      <c r="J786" s="52"/>
    </row>
    <row r="787" spans="9:10" x14ac:dyDescent="0.25">
      <c r="I787" s="52"/>
      <c r="J787" s="52"/>
    </row>
    <row r="788" spans="9:10" x14ac:dyDescent="0.25">
      <c r="I788" s="52"/>
      <c r="J788" s="52"/>
    </row>
    <row r="789" spans="9:10" x14ac:dyDescent="0.25">
      <c r="I789" s="52"/>
      <c r="J789" s="52"/>
    </row>
    <row r="790" spans="9:10" x14ac:dyDescent="0.25">
      <c r="I790" s="52"/>
      <c r="J790" s="52"/>
    </row>
    <row r="791" spans="9:10" x14ac:dyDescent="0.25">
      <c r="I791" s="52"/>
      <c r="J791" s="52"/>
    </row>
    <row r="792" spans="9:10" x14ac:dyDescent="0.25">
      <c r="I792" s="52"/>
      <c r="J792" s="52"/>
    </row>
    <row r="793" spans="9:10" x14ac:dyDescent="0.25">
      <c r="I793" s="52"/>
      <c r="J793" s="52"/>
    </row>
    <row r="794" spans="9:10" x14ac:dyDescent="0.25">
      <c r="I794" s="52"/>
      <c r="J794" s="52"/>
    </row>
    <row r="795" spans="9:10" x14ac:dyDescent="0.25">
      <c r="I795" s="52"/>
      <c r="J795" s="52"/>
    </row>
    <row r="796" spans="9:10" x14ac:dyDescent="0.25">
      <c r="I796" s="52"/>
      <c r="J796" s="52"/>
    </row>
    <row r="797" spans="9:10" x14ac:dyDescent="0.25">
      <c r="I797" s="52"/>
      <c r="J797" s="52"/>
    </row>
    <row r="798" spans="9:10" x14ac:dyDescent="0.25">
      <c r="I798" s="52"/>
      <c r="J798" s="52"/>
    </row>
    <row r="799" spans="9:10" x14ac:dyDescent="0.25">
      <c r="I799" s="52"/>
      <c r="J799" s="52"/>
    </row>
    <row r="800" spans="9:10" x14ac:dyDescent="0.25">
      <c r="I800" s="52"/>
      <c r="J800" s="52"/>
    </row>
    <row r="801" spans="9:10" x14ac:dyDescent="0.25">
      <c r="I801" s="52"/>
      <c r="J801" s="52"/>
    </row>
    <row r="802" spans="9:10" x14ac:dyDescent="0.25">
      <c r="I802" s="52"/>
      <c r="J802" s="52"/>
    </row>
    <row r="803" spans="9:10" x14ac:dyDescent="0.25">
      <c r="I803" s="52"/>
      <c r="J803" s="52"/>
    </row>
    <row r="804" spans="9:10" x14ac:dyDescent="0.25">
      <c r="I804" s="52"/>
      <c r="J804" s="52"/>
    </row>
    <row r="805" spans="9:10" x14ac:dyDescent="0.25">
      <c r="I805" s="52"/>
      <c r="J805" s="52"/>
    </row>
    <row r="806" spans="9:10" x14ac:dyDescent="0.25">
      <c r="I806" s="52"/>
      <c r="J806" s="52"/>
    </row>
    <row r="807" spans="9:10" x14ac:dyDescent="0.25">
      <c r="I807" s="52"/>
      <c r="J807" s="52"/>
    </row>
    <row r="808" spans="9:10" x14ac:dyDescent="0.25">
      <c r="I808" s="52"/>
      <c r="J808" s="52"/>
    </row>
    <row r="809" spans="9:10" x14ac:dyDescent="0.25">
      <c r="I809" s="52"/>
      <c r="J809" s="52"/>
    </row>
    <row r="810" spans="9:10" x14ac:dyDescent="0.25">
      <c r="I810" s="52"/>
      <c r="J810" s="52"/>
    </row>
    <row r="811" spans="9:10" x14ac:dyDescent="0.25">
      <c r="I811" s="52"/>
      <c r="J811" s="52"/>
    </row>
    <row r="812" spans="9:10" x14ac:dyDescent="0.25">
      <c r="I812" s="52"/>
      <c r="J812" s="52"/>
    </row>
    <row r="813" spans="9:10" x14ac:dyDescent="0.25">
      <c r="I813" s="52"/>
      <c r="J813" s="52"/>
    </row>
    <row r="814" spans="9:10" x14ac:dyDescent="0.25">
      <c r="I814" s="52"/>
      <c r="J814" s="52"/>
    </row>
    <row r="815" spans="9:10" x14ac:dyDescent="0.25">
      <c r="I815" s="52"/>
      <c r="J815" s="52"/>
    </row>
    <row r="816" spans="9:10" x14ac:dyDescent="0.25">
      <c r="I816" s="52"/>
      <c r="J816" s="52"/>
    </row>
    <row r="817" spans="9:10" x14ac:dyDescent="0.25">
      <c r="I817" s="52"/>
      <c r="J817" s="52"/>
    </row>
    <row r="818" spans="9:10" x14ac:dyDescent="0.25">
      <c r="I818" s="52"/>
      <c r="J818" s="52"/>
    </row>
    <row r="819" spans="9:10" x14ac:dyDescent="0.25">
      <c r="I819" s="52"/>
      <c r="J819" s="52"/>
    </row>
    <row r="820" spans="9:10" x14ac:dyDescent="0.25">
      <c r="I820" s="52"/>
      <c r="J820" s="52"/>
    </row>
    <row r="821" spans="9:10" x14ac:dyDescent="0.25">
      <c r="I821" s="52"/>
      <c r="J821" s="52"/>
    </row>
    <row r="822" spans="9:10" x14ac:dyDescent="0.25">
      <c r="I822" s="52"/>
      <c r="J822" s="52"/>
    </row>
    <row r="823" spans="9:10" x14ac:dyDescent="0.25">
      <c r="I823" s="52"/>
      <c r="J823" s="52"/>
    </row>
    <row r="824" spans="9:10" x14ac:dyDescent="0.25">
      <c r="I824" s="52"/>
      <c r="J824" s="52"/>
    </row>
    <row r="825" spans="9:10" x14ac:dyDescent="0.25">
      <c r="I825" s="52"/>
      <c r="J825" s="52"/>
    </row>
    <row r="826" spans="9:10" x14ac:dyDescent="0.25">
      <c r="I826" s="52"/>
      <c r="J826" s="52"/>
    </row>
    <row r="827" spans="9:10" x14ac:dyDescent="0.25">
      <c r="I827" s="52"/>
      <c r="J827" s="52"/>
    </row>
    <row r="828" spans="9:10" x14ac:dyDescent="0.25">
      <c r="I828" s="52"/>
      <c r="J828" s="52"/>
    </row>
    <row r="829" spans="9:10" x14ac:dyDescent="0.25">
      <c r="I829" s="52"/>
      <c r="J829" s="52"/>
    </row>
    <row r="830" spans="9:10" x14ac:dyDescent="0.25">
      <c r="I830" s="52"/>
      <c r="J830" s="52"/>
    </row>
    <row r="831" spans="9:10" x14ac:dyDescent="0.25">
      <c r="I831" s="52"/>
      <c r="J831" s="52"/>
    </row>
    <row r="832" spans="9:10" x14ac:dyDescent="0.25">
      <c r="I832" s="52"/>
      <c r="J832" s="52"/>
    </row>
    <row r="833" spans="9:10" x14ac:dyDescent="0.25">
      <c r="I833" s="52"/>
      <c r="J833" s="52"/>
    </row>
    <row r="834" spans="9:10" x14ac:dyDescent="0.25">
      <c r="I834" s="52"/>
      <c r="J834" s="52"/>
    </row>
    <row r="835" spans="9:10" x14ac:dyDescent="0.25">
      <c r="I835" s="52"/>
      <c r="J835" s="52"/>
    </row>
    <row r="836" spans="9:10" x14ac:dyDescent="0.25">
      <c r="I836" s="52"/>
      <c r="J836" s="52"/>
    </row>
    <row r="837" spans="9:10" x14ac:dyDescent="0.25">
      <c r="I837" s="52"/>
      <c r="J837" s="52"/>
    </row>
    <row r="838" spans="9:10" x14ac:dyDescent="0.25">
      <c r="I838" s="52"/>
      <c r="J838" s="52"/>
    </row>
    <row r="839" spans="9:10" x14ac:dyDescent="0.25">
      <c r="I839" s="52"/>
      <c r="J839" s="52"/>
    </row>
    <row r="840" spans="9:10" x14ac:dyDescent="0.25">
      <c r="I840" s="52"/>
      <c r="J840" s="52"/>
    </row>
    <row r="841" spans="9:10" x14ac:dyDescent="0.25">
      <c r="I841" s="52"/>
      <c r="J841" s="52"/>
    </row>
    <row r="842" spans="9:10" x14ac:dyDescent="0.25">
      <c r="I842" s="52"/>
      <c r="J842" s="52"/>
    </row>
    <row r="843" spans="9:10" x14ac:dyDescent="0.25">
      <c r="I843" s="52"/>
      <c r="J843" s="52"/>
    </row>
    <row r="844" spans="9:10" x14ac:dyDescent="0.25">
      <c r="I844" s="52"/>
      <c r="J844" s="52"/>
    </row>
    <row r="845" spans="9:10" x14ac:dyDescent="0.25">
      <c r="I845" s="52"/>
      <c r="J845" s="52"/>
    </row>
    <row r="846" spans="9:10" x14ac:dyDescent="0.25">
      <c r="I846" s="52"/>
      <c r="J846" s="52"/>
    </row>
    <row r="847" spans="9:10" x14ac:dyDescent="0.25">
      <c r="I847" s="52"/>
      <c r="J847" s="52"/>
    </row>
    <row r="848" spans="9:10" x14ac:dyDescent="0.25">
      <c r="I848" s="52"/>
      <c r="J848" s="52"/>
    </row>
    <row r="849" spans="9:10" x14ac:dyDescent="0.25">
      <c r="I849" s="52"/>
      <c r="J849" s="52"/>
    </row>
    <row r="850" spans="9:10" x14ac:dyDescent="0.25">
      <c r="I850" s="52"/>
      <c r="J850" s="52"/>
    </row>
    <row r="851" spans="9:10" x14ac:dyDescent="0.25">
      <c r="I851" s="52"/>
      <c r="J851" s="52"/>
    </row>
    <row r="852" spans="9:10" x14ac:dyDescent="0.25">
      <c r="I852" s="52"/>
      <c r="J852" s="52"/>
    </row>
    <row r="853" spans="9:10" x14ac:dyDescent="0.25">
      <c r="I853" s="52"/>
      <c r="J853" s="52"/>
    </row>
    <row r="854" spans="9:10" x14ac:dyDescent="0.25">
      <c r="I854" s="52"/>
      <c r="J854" s="52"/>
    </row>
    <row r="855" spans="9:10" x14ac:dyDescent="0.25">
      <c r="I855" s="52"/>
      <c r="J855" s="52"/>
    </row>
    <row r="856" spans="9:10" x14ac:dyDescent="0.25">
      <c r="I856" s="52"/>
      <c r="J856" s="52"/>
    </row>
    <row r="857" spans="9:10" x14ac:dyDescent="0.25">
      <c r="I857" s="52"/>
      <c r="J857" s="52"/>
    </row>
    <row r="858" spans="9:10" x14ac:dyDescent="0.25">
      <c r="I858" s="52"/>
      <c r="J858" s="52"/>
    </row>
    <row r="859" spans="9:10" x14ac:dyDescent="0.25">
      <c r="I859" s="52"/>
      <c r="J859" s="52"/>
    </row>
    <row r="860" spans="9:10" x14ac:dyDescent="0.25">
      <c r="I860" s="52"/>
      <c r="J860" s="52"/>
    </row>
    <row r="861" spans="9:10" x14ac:dyDescent="0.25">
      <c r="I861" s="52"/>
      <c r="J861" s="52"/>
    </row>
    <row r="862" spans="9:10" x14ac:dyDescent="0.25">
      <c r="I862" s="52"/>
      <c r="J862" s="52"/>
    </row>
    <row r="863" spans="9:10" x14ac:dyDescent="0.25">
      <c r="I863" s="52"/>
      <c r="J863" s="52"/>
    </row>
    <row r="864" spans="9:10" x14ac:dyDescent="0.25">
      <c r="I864" s="52"/>
      <c r="J864" s="52"/>
    </row>
    <row r="865" spans="9:10" x14ac:dyDescent="0.25">
      <c r="I865" s="52"/>
      <c r="J865" s="52"/>
    </row>
    <row r="866" spans="9:10" x14ac:dyDescent="0.25">
      <c r="I866" s="52"/>
      <c r="J866" s="52"/>
    </row>
    <row r="867" spans="9:10" x14ac:dyDescent="0.25">
      <c r="I867" s="52"/>
      <c r="J867" s="52"/>
    </row>
    <row r="868" spans="9:10" x14ac:dyDescent="0.25">
      <c r="I868" s="52"/>
      <c r="J868" s="52"/>
    </row>
    <row r="869" spans="9:10" x14ac:dyDescent="0.25">
      <c r="I869" s="52"/>
      <c r="J869" s="52"/>
    </row>
    <row r="870" spans="9:10" x14ac:dyDescent="0.25">
      <c r="I870" s="52"/>
      <c r="J870" s="52"/>
    </row>
    <row r="871" spans="9:10" x14ac:dyDescent="0.25">
      <c r="I871" s="52"/>
      <c r="J871" s="52"/>
    </row>
    <row r="872" spans="9:10" x14ac:dyDescent="0.25">
      <c r="I872" s="52"/>
      <c r="J872" s="52"/>
    </row>
    <row r="873" spans="9:10" x14ac:dyDescent="0.25">
      <c r="I873" s="52"/>
      <c r="J873" s="52"/>
    </row>
    <row r="874" spans="9:10" x14ac:dyDescent="0.25">
      <c r="I874" s="52"/>
      <c r="J874" s="52"/>
    </row>
    <row r="875" spans="9:10" x14ac:dyDescent="0.25">
      <c r="I875" s="52"/>
      <c r="J875" s="52"/>
    </row>
    <row r="876" spans="9:10" x14ac:dyDescent="0.25">
      <c r="I876" s="52"/>
      <c r="J876" s="52"/>
    </row>
    <row r="877" spans="9:10" x14ac:dyDescent="0.25">
      <c r="I877" s="52"/>
      <c r="J877" s="52"/>
    </row>
    <row r="878" spans="9:10" x14ac:dyDescent="0.25">
      <c r="I878" s="52"/>
      <c r="J878" s="52"/>
    </row>
    <row r="879" spans="9:10" x14ac:dyDescent="0.25">
      <c r="I879" s="52"/>
      <c r="J879" s="52"/>
    </row>
    <row r="880" spans="9:10" x14ac:dyDescent="0.25">
      <c r="I880" s="52"/>
      <c r="J880" s="52"/>
    </row>
    <row r="881" spans="9:10" x14ac:dyDescent="0.25">
      <c r="I881" s="52"/>
      <c r="J881" s="52"/>
    </row>
    <row r="882" spans="9:10" x14ac:dyDescent="0.25">
      <c r="I882" s="52"/>
      <c r="J882" s="52"/>
    </row>
    <row r="883" spans="9:10" x14ac:dyDescent="0.25">
      <c r="I883" s="52"/>
      <c r="J883" s="52"/>
    </row>
    <row r="884" spans="9:10" x14ac:dyDescent="0.25">
      <c r="I884" s="52"/>
      <c r="J884" s="52"/>
    </row>
    <row r="885" spans="9:10" x14ac:dyDescent="0.25">
      <c r="I885" s="52"/>
      <c r="J885" s="52"/>
    </row>
    <row r="886" spans="9:10" x14ac:dyDescent="0.25">
      <c r="I886" s="52"/>
      <c r="J886" s="52"/>
    </row>
    <row r="887" spans="9:10" x14ac:dyDescent="0.25">
      <c r="I887" s="52"/>
      <c r="J887" s="52"/>
    </row>
    <row r="888" spans="9:10" x14ac:dyDescent="0.25">
      <c r="I888" s="52"/>
      <c r="J888" s="52"/>
    </row>
    <row r="889" spans="9:10" x14ac:dyDescent="0.25">
      <c r="I889" s="52"/>
      <c r="J889" s="52"/>
    </row>
    <row r="890" spans="9:10" x14ac:dyDescent="0.25">
      <c r="I890" s="52"/>
      <c r="J890" s="52"/>
    </row>
    <row r="891" spans="9:10" x14ac:dyDescent="0.25">
      <c r="I891" s="52"/>
      <c r="J891" s="52"/>
    </row>
    <row r="892" spans="9:10" x14ac:dyDescent="0.25">
      <c r="I892" s="52"/>
      <c r="J892" s="52"/>
    </row>
    <row r="893" spans="9:10" x14ac:dyDescent="0.25">
      <c r="I893" s="52"/>
      <c r="J893" s="52"/>
    </row>
    <row r="894" spans="9:10" x14ac:dyDescent="0.25">
      <c r="I894" s="52"/>
      <c r="J894" s="52"/>
    </row>
    <row r="895" spans="9:10" x14ac:dyDescent="0.25">
      <c r="I895" s="52"/>
      <c r="J895" s="52"/>
    </row>
    <row r="896" spans="9:10" x14ac:dyDescent="0.25">
      <c r="I896" s="52"/>
      <c r="J896" s="52"/>
    </row>
    <row r="897" spans="9:10" x14ac:dyDescent="0.25">
      <c r="I897" s="52"/>
      <c r="J897" s="52"/>
    </row>
    <row r="898" spans="9:10" x14ac:dyDescent="0.25">
      <c r="I898" s="52"/>
      <c r="J898" s="52"/>
    </row>
    <row r="899" spans="9:10" x14ac:dyDescent="0.25">
      <c r="I899" s="52"/>
      <c r="J899" s="52"/>
    </row>
    <row r="900" spans="9:10" x14ac:dyDescent="0.25">
      <c r="I900" s="52"/>
      <c r="J900" s="52"/>
    </row>
    <row r="901" spans="9:10" x14ac:dyDescent="0.25">
      <c r="I901" s="52"/>
      <c r="J901" s="52"/>
    </row>
    <row r="902" spans="9:10" x14ac:dyDescent="0.25">
      <c r="I902" s="52"/>
      <c r="J902" s="52"/>
    </row>
    <row r="903" spans="9:10" x14ac:dyDescent="0.25">
      <c r="I903" s="52"/>
      <c r="J903" s="52"/>
    </row>
    <row r="904" spans="9:10" x14ac:dyDescent="0.25">
      <c r="I904" s="52"/>
      <c r="J904" s="52"/>
    </row>
    <row r="905" spans="9:10" x14ac:dyDescent="0.25">
      <c r="I905" s="52"/>
      <c r="J905" s="52"/>
    </row>
    <row r="906" spans="9:10" x14ac:dyDescent="0.25">
      <c r="I906" s="52"/>
      <c r="J906" s="52"/>
    </row>
    <row r="907" spans="9:10" x14ac:dyDescent="0.25">
      <c r="I907" s="52"/>
      <c r="J907" s="52"/>
    </row>
    <row r="908" spans="9:10" x14ac:dyDescent="0.25">
      <c r="I908" s="52"/>
      <c r="J908" s="52"/>
    </row>
    <row r="909" spans="9:10" x14ac:dyDescent="0.25">
      <c r="I909" s="52"/>
      <c r="J909" s="52"/>
    </row>
    <row r="910" spans="9:10" x14ac:dyDescent="0.25">
      <c r="I910" s="52"/>
      <c r="J910" s="52"/>
    </row>
    <row r="911" spans="9:10" x14ac:dyDescent="0.25">
      <c r="I911" s="52"/>
      <c r="J911" s="52"/>
    </row>
    <row r="912" spans="9:10" x14ac:dyDescent="0.25">
      <c r="I912" s="52"/>
      <c r="J912" s="52"/>
    </row>
    <row r="913" spans="9:10" x14ac:dyDescent="0.25">
      <c r="I913" s="52"/>
      <c r="J913" s="52"/>
    </row>
    <row r="914" spans="9:10" x14ac:dyDescent="0.25">
      <c r="I914" s="52"/>
      <c r="J914" s="52"/>
    </row>
    <row r="915" spans="9:10" x14ac:dyDescent="0.25">
      <c r="I915" s="52"/>
      <c r="J915" s="52"/>
    </row>
    <row r="916" spans="9:10" x14ac:dyDescent="0.25">
      <c r="I916" s="52"/>
      <c r="J916" s="52"/>
    </row>
    <row r="917" spans="9:10" x14ac:dyDescent="0.25">
      <c r="I917" s="52"/>
      <c r="J917" s="52"/>
    </row>
    <row r="918" spans="9:10" x14ac:dyDescent="0.25">
      <c r="I918" s="52"/>
      <c r="J918" s="52"/>
    </row>
    <row r="919" spans="9:10" x14ac:dyDescent="0.25">
      <c r="I919" s="52"/>
      <c r="J919" s="52"/>
    </row>
    <row r="920" spans="9:10" x14ac:dyDescent="0.25">
      <c r="I920" s="52"/>
      <c r="J920" s="52"/>
    </row>
    <row r="921" spans="9:10" x14ac:dyDescent="0.25">
      <c r="I921" s="52"/>
      <c r="J921" s="52"/>
    </row>
    <row r="922" spans="9:10" x14ac:dyDescent="0.25">
      <c r="I922" s="52"/>
      <c r="J922" s="52"/>
    </row>
    <row r="923" spans="9:10" x14ac:dyDescent="0.25">
      <c r="I923" s="52"/>
      <c r="J923" s="52"/>
    </row>
    <row r="924" spans="9:10" x14ac:dyDescent="0.25">
      <c r="I924" s="52"/>
      <c r="J924" s="52"/>
    </row>
    <row r="925" spans="9:10" x14ac:dyDescent="0.25">
      <c r="I925" s="52"/>
      <c r="J925" s="52"/>
    </row>
    <row r="926" spans="9:10" x14ac:dyDescent="0.25">
      <c r="I926" s="52"/>
      <c r="J926" s="52"/>
    </row>
    <row r="927" spans="9:10" x14ac:dyDescent="0.25">
      <c r="I927" s="52"/>
      <c r="J927" s="52"/>
    </row>
    <row r="928" spans="9:10" x14ac:dyDescent="0.25">
      <c r="I928" s="52"/>
      <c r="J928" s="52"/>
    </row>
    <row r="929" spans="9:10" x14ac:dyDescent="0.25">
      <c r="I929" s="52"/>
      <c r="J929" s="52"/>
    </row>
    <row r="930" spans="9:10" x14ac:dyDescent="0.25">
      <c r="I930" s="52"/>
      <c r="J930" s="52"/>
    </row>
    <row r="931" spans="9:10" x14ac:dyDescent="0.25">
      <c r="I931" s="52"/>
      <c r="J931" s="52"/>
    </row>
    <row r="932" spans="9:10" x14ac:dyDescent="0.25">
      <c r="I932" s="52"/>
      <c r="J932" s="52"/>
    </row>
    <row r="933" spans="9:10" x14ac:dyDescent="0.25">
      <c r="I933" s="52"/>
      <c r="J933" s="52"/>
    </row>
    <row r="934" spans="9:10" x14ac:dyDescent="0.25">
      <c r="I934" s="52"/>
      <c r="J934" s="52"/>
    </row>
    <row r="935" spans="9:10" x14ac:dyDescent="0.25">
      <c r="I935" s="52"/>
      <c r="J935" s="52"/>
    </row>
    <row r="936" spans="9:10" x14ac:dyDescent="0.25">
      <c r="I936" s="52"/>
      <c r="J936" s="52"/>
    </row>
    <row r="937" spans="9:10" x14ac:dyDescent="0.25">
      <c r="I937" s="52"/>
      <c r="J937" s="52"/>
    </row>
    <row r="938" spans="9:10" x14ac:dyDescent="0.25">
      <c r="I938" s="52"/>
      <c r="J938" s="52"/>
    </row>
    <row r="939" spans="9:10" x14ac:dyDescent="0.25">
      <c r="I939" s="52"/>
      <c r="J939" s="52"/>
    </row>
    <row r="940" spans="9:10" x14ac:dyDescent="0.25">
      <c r="I940" s="52"/>
      <c r="J940" s="52"/>
    </row>
    <row r="941" spans="9:10" x14ac:dyDescent="0.25">
      <c r="I941" s="52"/>
      <c r="J941" s="52"/>
    </row>
    <row r="942" spans="9:10" x14ac:dyDescent="0.25">
      <c r="I942" s="52"/>
      <c r="J942" s="52"/>
    </row>
    <row r="943" spans="9:10" x14ac:dyDescent="0.25">
      <c r="I943" s="52"/>
      <c r="J943" s="52"/>
    </row>
    <row r="944" spans="9:10" x14ac:dyDescent="0.25">
      <c r="I944" s="52"/>
      <c r="J944" s="52"/>
    </row>
    <row r="945" spans="9:10" x14ac:dyDescent="0.25">
      <c r="I945" s="52"/>
      <c r="J945" s="52"/>
    </row>
    <row r="946" spans="9:10" x14ac:dyDescent="0.25">
      <c r="I946" s="52"/>
      <c r="J946" s="52"/>
    </row>
    <row r="947" spans="9:10" x14ac:dyDescent="0.25">
      <c r="I947" s="52"/>
      <c r="J947" s="52"/>
    </row>
    <row r="948" spans="9:10" x14ac:dyDescent="0.25">
      <c r="I948" s="52"/>
      <c r="J948" s="52"/>
    </row>
    <row r="949" spans="9:10" x14ac:dyDescent="0.25">
      <c r="I949" s="52"/>
      <c r="J949" s="52"/>
    </row>
    <row r="950" spans="9:10" x14ac:dyDescent="0.25">
      <c r="I950" s="52"/>
      <c r="J950" s="52"/>
    </row>
    <row r="951" spans="9:10" x14ac:dyDescent="0.25">
      <c r="I951" s="52"/>
      <c r="J951" s="52"/>
    </row>
    <row r="952" spans="9:10" x14ac:dyDescent="0.25">
      <c r="I952" s="52"/>
      <c r="J952" s="52"/>
    </row>
    <row r="953" spans="9:10" x14ac:dyDescent="0.25">
      <c r="I953" s="52"/>
      <c r="J953" s="52"/>
    </row>
    <row r="954" spans="9:10" x14ac:dyDescent="0.25">
      <c r="I954" s="52"/>
      <c r="J954" s="52"/>
    </row>
    <row r="955" spans="9:10" x14ac:dyDescent="0.25">
      <c r="I955" s="52"/>
      <c r="J955" s="52"/>
    </row>
    <row r="956" spans="9:10" x14ac:dyDescent="0.25">
      <c r="I956" s="52"/>
      <c r="J956" s="52"/>
    </row>
    <row r="957" spans="9:10" x14ac:dyDescent="0.25">
      <c r="I957" s="52"/>
      <c r="J957" s="52"/>
    </row>
    <row r="958" spans="9:10" x14ac:dyDescent="0.25">
      <c r="I958" s="52"/>
      <c r="J958" s="52"/>
    </row>
    <row r="959" spans="9:10" x14ac:dyDescent="0.25">
      <c r="I959" s="52"/>
      <c r="J959" s="52"/>
    </row>
    <row r="960" spans="9:10" x14ac:dyDescent="0.25">
      <c r="I960" s="52"/>
      <c r="J960" s="52"/>
    </row>
    <row r="961" spans="9:10" x14ac:dyDescent="0.25">
      <c r="I961" s="52"/>
      <c r="J961" s="52"/>
    </row>
    <row r="962" spans="9:10" x14ac:dyDescent="0.25">
      <c r="I962" s="52"/>
      <c r="J962" s="52"/>
    </row>
    <row r="963" spans="9:10" x14ac:dyDescent="0.25">
      <c r="I963" s="52"/>
      <c r="J963" s="52"/>
    </row>
    <row r="964" spans="9:10" x14ac:dyDescent="0.25">
      <c r="I964" s="52"/>
      <c r="J964" s="52"/>
    </row>
    <row r="965" spans="9:10" x14ac:dyDescent="0.25">
      <c r="I965" s="52"/>
      <c r="J965" s="52"/>
    </row>
    <row r="966" spans="9:10" x14ac:dyDescent="0.25">
      <c r="I966" s="52"/>
      <c r="J966" s="52"/>
    </row>
    <row r="967" spans="9:10" x14ac:dyDescent="0.25">
      <c r="I967" s="52"/>
      <c r="J967" s="52"/>
    </row>
    <row r="968" spans="9:10" x14ac:dyDescent="0.25">
      <c r="I968" s="52"/>
      <c r="J968" s="52"/>
    </row>
    <row r="969" spans="9:10" x14ac:dyDescent="0.25">
      <c r="I969" s="52"/>
      <c r="J969" s="52"/>
    </row>
    <row r="970" spans="9:10" x14ac:dyDescent="0.25">
      <c r="I970" s="52"/>
      <c r="J970" s="52"/>
    </row>
    <row r="971" spans="9:10" x14ac:dyDescent="0.25">
      <c r="I971" s="52"/>
      <c r="J971" s="52"/>
    </row>
    <row r="972" spans="9:10" x14ac:dyDescent="0.25">
      <c r="I972" s="52"/>
      <c r="J972" s="52"/>
    </row>
    <row r="973" spans="9:10" x14ac:dyDescent="0.25">
      <c r="I973" s="52"/>
      <c r="J973" s="52"/>
    </row>
    <row r="974" spans="9:10" x14ac:dyDescent="0.25">
      <c r="I974" s="52"/>
      <c r="J974" s="52"/>
    </row>
    <row r="975" spans="9:10" x14ac:dyDescent="0.25">
      <c r="I975" s="52"/>
      <c r="J975" s="52"/>
    </row>
    <row r="976" spans="9:10" x14ac:dyDescent="0.25">
      <c r="I976" s="52"/>
      <c r="J976" s="52"/>
    </row>
    <row r="977" spans="9:10" x14ac:dyDescent="0.25">
      <c r="I977" s="52"/>
      <c r="J977" s="52"/>
    </row>
    <row r="978" spans="9:10" x14ac:dyDescent="0.25">
      <c r="I978" s="52"/>
      <c r="J978" s="52"/>
    </row>
    <row r="979" spans="9:10" x14ac:dyDescent="0.25">
      <c r="I979" s="52"/>
      <c r="J979" s="52"/>
    </row>
    <row r="980" spans="9:10" x14ac:dyDescent="0.25">
      <c r="I980" s="52"/>
      <c r="J980" s="52"/>
    </row>
    <row r="981" spans="9:10" x14ac:dyDescent="0.25">
      <c r="I981" s="52"/>
      <c r="J981" s="52"/>
    </row>
    <row r="982" spans="9:10" x14ac:dyDescent="0.25">
      <c r="I982" s="52"/>
      <c r="J982" s="52"/>
    </row>
    <row r="983" spans="9:10" x14ac:dyDescent="0.25">
      <c r="I983" s="52"/>
      <c r="J983" s="52"/>
    </row>
    <row r="984" spans="9:10" x14ac:dyDescent="0.25">
      <c r="I984" s="52"/>
      <c r="J984" s="52"/>
    </row>
    <row r="985" spans="9:10" x14ac:dyDescent="0.25">
      <c r="I985" s="52"/>
      <c r="J985" s="52"/>
    </row>
    <row r="986" spans="9:10" x14ac:dyDescent="0.25">
      <c r="I986" s="52"/>
      <c r="J986" s="52"/>
    </row>
    <row r="987" spans="9:10" x14ac:dyDescent="0.25">
      <c r="I987" s="52"/>
      <c r="J987" s="52"/>
    </row>
    <row r="988" spans="9:10" x14ac:dyDescent="0.25">
      <c r="I988" s="52"/>
      <c r="J988" s="52"/>
    </row>
    <row r="989" spans="9:10" x14ac:dyDescent="0.25">
      <c r="I989" s="52"/>
      <c r="J989" s="52"/>
    </row>
    <row r="990" spans="9:10" x14ac:dyDescent="0.25">
      <c r="I990" s="52"/>
      <c r="J990" s="52"/>
    </row>
    <row r="991" spans="9:10" x14ac:dyDescent="0.25">
      <c r="I991" s="52"/>
      <c r="J991" s="52"/>
    </row>
    <row r="992" spans="9:10" x14ac:dyDescent="0.25">
      <c r="I992" s="52"/>
      <c r="J992" s="52"/>
    </row>
    <row r="993" spans="9:10" x14ac:dyDescent="0.25">
      <c r="I993" s="52"/>
      <c r="J993" s="52"/>
    </row>
    <row r="994" spans="9:10" x14ac:dyDescent="0.25">
      <c r="I994" s="52"/>
      <c r="J994" s="52"/>
    </row>
    <row r="995" spans="9:10" x14ac:dyDescent="0.25">
      <c r="I995" s="52"/>
      <c r="J995" s="52"/>
    </row>
    <row r="996" spans="9:10" x14ac:dyDescent="0.25">
      <c r="I996" s="52"/>
      <c r="J996" s="52"/>
    </row>
    <row r="997" spans="9:10" x14ac:dyDescent="0.25">
      <c r="I997" s="52"/>
      <c r="J997" s="52"/>
    </row>
    <row r="998" spans="9:10" x14ac:dyDescent="0.25">
      <c r="I998" s="52"/>
      <c r="J998" s="52"/>
    </row>
    <row r="999" spans="9:10" x14ac:dyDescent="0.25">
      <c r="I999" s="52"/>
      <c r="J999" s="52"/>
    </row>
    <row r="1000" spans="9:10" x14ac:dyDescent="0.25">
      <c r="I1000" s="52"/>
      <c r="J1000" s="52"/>
    </row>
    <row r="1001" spans="9:10" x14ac:dyDescent="0.25">
      <c r="I1001" s="52"/>
      <c r="J1001" s="52"/>
    </row>
    <row r="1002" spans="9:10" x14ac:dyDescent="0.25">
      <c r="I1002" s="52"/>
      <c r="J1002" s="52"/>
    </row>
    <row r="1003" spans="9:10" x14ac:dyDescent="0.25">
      <c r="I1003" s="52"/>
      <c r="J1003" s="52"/>
    </row>
    <row r="1004" spans="9:10" x14ac:dyDescent="0.25">
      <c r="I1004" s="52"/>
      <c r="J1004" s="52"/>
    </row>
    <row r="1005" spans="9:10" x14ac:dyDescent="0.25">
      <c r="I1005" s="52"/>
      <c r="J1005" s="52"/>
    </row>
    <row r="1006" spans="9:10" x14ac:dyDescent="0.25">
      <c r="I1006" s="52"/>
      <c r="J1006" s="52"/>
    </row>
    <row r="1007" spans="9:10" x14ac:dyDescent="0.25">
      <c r="I1007" s="52"/>
      <c r="J1007" s="52"/>
    </row>
    <row r="1008" spans="9:10" x14ac:dyDescent="0.25">
      <c r="I1008" s="52"/>
      <c r="J1008" s="52"/>
    </row>
    <row r="1009" spans="9:10" x14ac:dyDescent="0.25">
      <c r="I1009" s="52"/>
      <c r="J1009" s="52"/>
    </row>
    <row r="1010" spans="9:10" x14ac:dyDescent="0.25">
      <c r="I1010" s="52"/>
      <c r="J1010" s="52"/>
    </row>
    <row r="1011" spans="9:10" x14ac:dyDescent="0.25">
      <c r="I1011" s="52"/>
      <c r="J1011" s="52"/>
    </row>
    <row r="1012" spans="9:10" x14ac:dyDescent="0.25">
      <c r="I1012" s="52"/>
      <c r="J1012" s="52"/>
    </row>
    <row r="1013" spans="9:10" x14ac:dyDescent="0.25">
      <c r="I1013" s="52"/>
      <c r="J1013" s="52"/>
    </row>
    <row r="1014" spans="9:10" x14ac:dyDescent="0.25">
      <c r="I1014" s="52"/>
      <c r="J1014" s="52"/>
    </row>
    <row r="1015" spans="9:10" x14ac:dyDescent="0.25">
      <c r="I1015" s="52"/>
      <c r="J1015" s="52"/>
    </row>
    <row r="1016" spans="9:10" x14ac:dyDescent="0.25">
      <c r="I1016" s="52"/>
      <c r="J1016" s="52"/>
    </row>
    <row r="1017" spans="9:10" x14ac:dyDescent="0.25">
      <c r="I1017" s="52"/>
      <c r="J1017" s="52"/>
    </row>
    <row r="1018" spans="9:10" x14ac:dyDescent="0.25">
      <c r="I1018" s="52"/>
      <c r="J1018" s="52"/>
    </row>
    <row r="1019" spans="9:10" x14ac:dyDescent="0.25">
      <c r="I1019" s="52"/>
      <c r="J1019" s="52"/>
    </row>
    <row r="1020" spans="9:10" x14ac:dyDescent="0.25">
      <c r="I1020" s="52"/>
      <c r="J1020" s="52"/>
    </row>
    <row r="1021" spans="9:10" x14ac:dyDescent="0.25">
      <c r="I1021" s="52"/>
      <c r="J1021" s="52"/>
    </row>
    <row r="1022" spans="9:10" x14ac:dyDescent="0.25">
      <c r="I1022" s="52"/>
      <c r="J1022" s="52"/>
    </row>
    <row r="1023" spans="9:10" x14ac:dyDescent="0.25">
      <c r="I1023" s="52"/>
      <c r="J1023" s="52"/>
    </row>
    <row r="1024" spans="9:10" x14ac:dyDescent="0.25">
      <c r="I1024" s="52"/>
      <c r="J1024" s="52"/>
    </row>
    <row r="1025" spans="9:10" x14ac:dyDescent="0.25">
      <c r="I1025" s="52"/>
      <c r="J1025" s="52"/>
    </row>
    <row r="1026" spans="9:10" x14ac:dyDescent="0.25">
      <c r="I1026" s="52"/>
      <c r="J1026" s="52"/>
    </row>
    <row r="1027" spans="9:10" x14ac:dyDescent="0.25">
      <c r="I1027" s="52"/>
      <c r="J1027" s="52"/>
    </row>
    <row r="1028" spans="9:10" x14ac:dyDescent="0.25">
      <c r="I1028" s="52"/>
      <c r="J1028" s="52"/>
    </row>
    <row r="1029" spans="9:10" x14ac:dyDescent="0.25">
      <c r="I1029" s="52"/>
      <c r="J1029" s="52"/>
    </row>
    <row r="1030" spans="9:10" x14ac:dyDescent="0.25">
      <c r="I1030" s="52"/>
      <c r="J1030" s="52"/>
    </row>
    <row r="1031" spans="9:10" x14ac:dyDescent="0.25">
      <c r="I1031" s="52"/>
      <c r="J1031" s="52"/>
    </row>
    <row r="1032" spans="9:10" x14ac:dyDescent="0.25">
      <c r="I1032" s="52"/>
      <c r="J1032" s="52"/>
    </row>
    <row r="1033" spans="9:10" x14ac:dyDescent="0.25">
      <c r="I1033" s="52"/>
      <c r="J1033" s="52"/>
    </row>
    <row r="1034" spans="9:10" x14ac:dyDescent="0.25">
      <c r="I1034" s="52"/>
      <c r="J1034" s="52"/>
    </row>
    <row r="1035" spans="9:10" x14ac:dyDescent="0.25">
      <c r="I1035" s="52"/>
      <c r="J1035" s="52"/>
    </row>
    <row r="1036" spans="9:10" x14ac:dyDescent="0.25">
      <c r="I1036" s="52"/>
      <c r="J1036" s="52"/>
    </row>
    <row r="1037" spans="9:10" x14ac:dyDescent="0.25">
      <c r="I1037" s="52"/>
      <c r="J1037" s="52"/>
    </row>
    <row r="1038" spans="9:10" x14ac:dyDescent="0.25">
      <c r="I1038" s="52"/>
      <c r="J1038" s="52"/>
    </row>
    <row r="1039" spans="9:10" x14ac:dyDescent="0.25">
      <c r="I1039" s="52"/>
      <c r="J1039" s="52"/>
    </row>
    <row r="1040" spans="9:10" x14ac:dyDescent="0.25">
      <c r="I1040" s="52"/>
      <c r="J1040" s="52"/>
    </row>
    <row r="1041" spans="9:10" x14ac:dyDescent="0.25">
      <c r="I1041" s="52"/>
      <c r="J1041" s="52"/>
    </row>
    <row r="1042" spans="9:10" x14ac:dyDescent="0.25">
      <c r="I1042" s="52"/>
      <c r="J1042" s="52"/>
    </row>
    <row r="1043" spans="9:10" x14ac:dyDescent="0.25">
      <c r="I1043" s="52"/>
      <c r="J1043" s="52"/>
    </row>
    <row r="1044" spans="9:10" x14ac:dyDescent="0.25">
      <c r="I1044" s="52"/>
      <c r="J1044" s="52"/>
    </row>
    <row r="1045" spans="9:10" x14ac:dyDescent="0.25">
      <c r="I1045" s="52"/>
      <c r="J1045" s="52"/>
    </row>
    <row r="1046" spans="9:10" x14ac:dyDescent="0.25">
      <c r="I1046" s="52"/>
      <c r="J1046" s="52"/>
    </row>
    <row r="1047" spans="9:10" x14ac:dyDescent="0.25">
      <c r="I1047" s="52"/>
      <c r="J1047" s="52"/>
    </row>
    <row r="1048" spans="9:10" x14ac:dyDescent="0.25">
      <c r="I1048" s="52"/>
      <c r="J1048" s="52"/>
    </row>
    <row r="1049" spans="9:10" x14ac:dyDescent="0.25">
      <c r="I1049" s="52"/>
      <c r="J1049" s="52"/>
    </row>
    <row r="1050" spans="9:10" x14ac:dyDescent="0.25">
      <c r="I1050" s="52"/>
      <c r="J1050" s="52"/>
    </row>
    <row r="1051" spans="9:10" x14ac:dyDescent="0.25">
      <c r="I1051" s="52"/>
      <c r="J1051" s="52"/>
    </row>
    <row r="1052" spans="9:10" x14ac:dyDescent="0.25">
      <c r="I1052" s="52"/>
      <c r="J1052" s="52"/>
    </row>
    <row r="1053" spans="9:10" x14ac:dyDescent="0.25">
      <c r="I1053" s="52"/>
      <c r="J1053" s="52"/>
    </row>
    <row r="1054" spans="9:10" x14ac:dyDescent="0.25">
      <c r="I1054" s="52"/>
      <c r="J1054" s="52"/>
    </row>
    <row r="1055" spans="9:10" x14ac:dyDescent="0.25">
      <c r="I1055" s="52"/>
      <c r="J1055" s="52"/>
    </row>
    <row r="1056" spans="9:10" x14ac:dyDescent="0.25">
      <c r="I1056" s="52"/>
      <c r="J1056" s="52"/>
    </row>
    <row r="1057" spans="9:10" x14ac:dyDescent="0.25">
      <c r="I1057" s="52"/>
      <c r="J1057" s="52"/>
    </row>
    <row r="1058" spans="9:10" x14ac:dyDescent="0.25">
      <c r="I1058" s="52"/>
      <c r="J1058" s="52"/>
    </row>
    <row r="1059" spans="9:10" x14ac:dyDescent="0.25">
      <c r="I1059" s="52"/>
      <c r="J1059" s="52"/>
    </row>
    <row r="1060" spans="9:10" x14ac:dyDescent="0.25">
      <c r="I1060" s="52"/>
      <c r="J1060" s="52"/>
    </row>
    <row r="1061" spans="9:10" x14ac:dyDescent="0.25">
      <c r="I1061" s="52"/>
      <c r="J1061" s="52"/>
    </row>
    <row r="1062" spans="9:10" x14ac:dyDescent="0.25">
      <c r="I1062" s="52"/>
      <c r="J1062" s="52"/>
    </row>
    <row r="1063" spans="9:10" x14ac:dyDescent="0.25">
      <c r="I1063" s="52"/>
      <c r="J1063" s="52"/>
    </row>
    <row r="1064" spans="9:10" x14ac:dyDescent="0.25">
      <c r="I1064" s="52"/>
      <c r="J1064" s="52"/>
    </row>
    <row r="1065" spans="9:10" x14ac:dyDescent="0.25">
      <c r="I1065" s="52"/>
      <c r="J1065" s="52"/>
    </row>
    <row r="1066" spans="9:10" x14ac:dyDescent="0.25">
      <c r="I1066" s="52"/>
      <c r="J1066" s="52"/>
    </row>
    <row r="1067" spans="9:10" x14ac:dyDescent="0.25">
      <c r="I1067" s="52"/>
      <c r="J1067" s="52"/>
    </row>
    <row r="1068" spans="9:10" x14ac:dyDescent="0.25">
      <c r="I1068" s="52"/>
      <c r="J1068" s="52"/>
    </row>
    <row r="1069" spans="9:10" x14ac:dyDescent="0.25">
      <c r="I1069" s="52"/>
      <c r="J1069" s="52"/>
    </row>
    <row r="1070" spans="9:10" x14ac:dyDescent="0.25">
      <c r="I1070" s="52"/>
      <c r="J1070" s="52"/>
    </row>
    <row r="1071" spans="9:10" x14ac:dyDescent="0.25">
      <c r="I1071" s="52"/>
      <c r="J1071" s="52"/>
    </row>
    <row r="1072" spans="9:10" x14ac:dyDescent="0.25">
      <c r="I1072" s="52"/>
      <c r="J1072" s="52"/>
    </row>
    <row r="1073" spans="9:10" x14ac:dyDescent="0.25">
      <c r="I1073" s="52"/>
      <c r="J1073" s="52"/>
    </row>
    <row r="1074" spans="9:10" x14ac:dyDescent="0.25">
      <c r="I1074" s="52"/>
      <c r="J1074" s="52"/>
    </row>
    <row r="1075" spans="9:10" x14ac:dyDescent="0.25">
      <c r="I1075" s="52"/>
      <c r="J1075" s="52"/>
    </row>
    <row r="1076" spans="9:10" x14ac:dyDescent="0.25">
      <c r="I1076" s="52"/>
      <c r="J1076" s="52"/>
    </row>
    <row r="1077" spans="9:10" x14ac:dyDescent="0.25">
      <c r="I1077" s="52"/>
      <c r="J1077" s="52"/>
    </row>
    <row r="1078" spans="9:10" x14ac:dyDescent="0.25">
      <c r="I1078" s="52"/>
      <c r="J1078" s="52"/>
    </row>
    <row r="1079" spans="9:10" x14ac:dyDescent="0.25">
      <c r="I1079" s="52"/>
      <c r="J1079" s="52"/>
    </row>
    <row r="1080" spans="9:10" x14ac:dyDescent="0.25">
      <c r="I1080" s="52"/>
      <c r="J1080" s="52"/>
    </row>
    <row r="1081" spans="9:10" x14ac:dyDescent="0.25">
      <c r="I1081" s="52"/>
      <c r="J1081" s="52"/>
    </row>
    <row r="1082" spans="9:10" x14ac:dyDescent="0.25">
      <c r="I1082" s="52"/>
      <c r="J1082" s="52"/>
    </row>
    <row r="1083" spans="9:10" x14ac:dyDescent="0.25">
      <c r="I1083" s="52"/>
      <c r="J1083" s="52"/>
    </row>
    <row r="1084" spans="9:10" x14ac:dyDescent="0.25">
      <c r="I1084" s="52"/>
      <c r="J1084" s="52"/>
    </row>
    <row r="1085" spans="9:10" x14ac:dyDescent="0.25">
      <c r="I1085" s="52"/>
      <c r="J1085" s="52"/>
    </row>
    <row r="1086" spans="9:10" x14ac:dyDescent="0.25">
      <c r="I1086" s="52"/>
      <c r="J1086" s="52"/>
    </row>
    <row r="1087" spans="9:10" x14ac:dyDescent="0.25">
      <c r="I1087" s="52"/>
      <c r="J1087" s="52"/>
    </row>
    <row r="1088" spans="9:10" x14ac:dyDescent="0.25">
      <c r="I1088" s="52"/>
      <c r="J1088" s="52"/>
    </row>
    <row r="1089" spans="9:10" x14ac:dyDescent="0.25">
      <c r="I1089" s="52"/>
      <c r="J1089" s="52"/>
    </row>
    <row r="1090" spans="9:10" x14ac:dyDescent="0.25">
      <c r="I1090" s="52"/>
      <c r="J1090" s="52"/>
    </row>
    <row r="1091" spans="9:10" x14ac:dyDescent="0.25">
      <c r="I1091" s="52"/>
      <c r="J1091" s="52"/>
    </row>
    <row r="1092" spans="9:10" x14ac:dyDescent="0.25">
      <c r="I1092" s="52"/>
      <c r="J1092" s="52"/>
    </row>
    <row r="1093" spans="9:10" x14ac:dyDescent="0.25">
      <c r="I1093" s="52"/>
      <c r="J1093" s="52"/>
    </row>
    <row r="1094" spans="9:10" x14ac:dyDescent="0.25">
      <c r="I1094" s="52"/>
      <c r="J1094" s="52"/>
    </row>
    <row r="1095" spans="9:10" x14ac:dyDescent="0.25">
      <c r="I1095" s="52"/>
      <c r="J1095" s="52"/>
    </row>
    <row r="1096" spans="9:10" x14ac:dyDescent="0.25">
      <c r="I1096" s="52"/>
      <c r="J1096" s="52"/>
    </row>
    <row r="1097" spans="9:10" x14ac:dyDescent="0.25">
      <c r="I1097" s="52"/>
      <c r="J1097" s="52"/>
    </row>
    <row r="1098" spans="9:10" x14ac:dyDescent="0.25">
      <c r="I1098" s="52"/>
      <c r="J1098" s="52"/>
    </row>
    <row r="1099" spans="9:10" x14ac:dyDescent="0.25">
      <c r="I1099" s="52"/>
      <c r="J1099" s="52"/>
    </row>
    <row r="1100" spans="9:10" x14ac:dyDescent="0.25">
      <c r="I1100" s="52"/>
      <c r="J1100" s="52"/>
    </row>
    <row r="1101" spans="9:10" x14ac:dyDescent="0.25">
      <c r="I1101" s="52"/>
      <c r="J1101" s="52"/>
    </row>
    <row r="1102" spans="9:10" x14ac:dyDescent="0.25">
      <c r="I1102" s="52"/>
      <c r="J1102" s="52"/>
    </row>
    <row r="1103" spans="9:10" x14ac:dyDescent="0.25">
      <c r="I1103" s="52"/>
      <c r="J1103" s="52"/>
    </row>
    <row r="1104" spans="9:10" x14ac:dyDescent="0.25">
      <c r="I1104" s="52"/>
      <c r="J1104" s="52"/>
    </row>
    <row r="1105" spans="9:10" x14ac:dyDescent="0.25">
      <c r="I1105" s="52"/>
      <c r="J1105" s="52"/>
    </row>
    <row r="1106" spans="9:10" x14ac:dyDescent="0.25">
      <c r="I1106" s="52"/>
      <c r="J1106" s="52"/>
    </row>
    <row r="1107" spans="9:10" x14ac:dyDescent="0.25">
      <c r="I1107" s="52"/>
      <c r="J1107" s="52"/>
    </row>
    <row r="1108" spans="9:10" x14ac:dyDescent="0.25">
      <c r="I1108" s="52"/>
      <c r="J1108" s="52"/>
    </row>
    <row r="1109" spans="9:10" x14ac:dyDescent="0.25">
      <c r="I1109" s="52"/>
      <c r="J1109" s="52"/>
    </row>
    <row r="1110" spans="9:10" x14ac:dyDescent="0.25">
      <c r="I1110" s="52"/>
      <c r="J1110" s="52"/>
    </row>
    <row r="1111" spans="9:10" x14ac:dyDescent="0.25">
      <c r="I1111" s="52"/>
      <c r="J1111" s="52"/>
    </row>
    <row r="1112" spans="9:10" x14ac:dyDescent="0.25">
      <c r="I1112" s="52"/>
      <c r="J1112" s="52"/>
    </row>
    <row r="1113" spans="9:10" x14ac:dyDescent="0.25">
      <c r="I1113" s="52"/>
      <c r="J1113" s="52"/>
    </row>
    <row r="1114" spans="9:10" x14ac:dyDescent="0.25">
      <c r="I1114" s="52"/>
      <c r="J1114" s="52"/>
    </row>
    <row r="1115" spans="9:10" x14ac:dyDescent="0.25">
      <c r="I1115" s="52"/>
      <c r="J1115" s="52"/>
    </row>
    <row r="1116" spans="9:10" x14ac:dyDescent="0.25">
      <c r="I1116" s="52"/>
      <c r="J1116" s="52"/>
    </row>
    <row r="1117" spans="9:10" x14ac:dyDescent="0.25">
      <c r="I1117" s="52"/>
      <c r="J1117" s="52"/>
    </row>
    <row r="1118" spans="9:10" x14ac:dyDescent="0.25">
      <c r="I1118" s="52"/>
      <c r="J1118" s="52"/>
    </row>
    <row r="1119" spans="9:10" x14ac:dyDescent="0.25">
      <c r="I1119" s="52"/>
      <c r="J1119" s="52"/>
    </row>
    <row r="1120" spans="9:10" x14ac:dyDescent="0.25">
      <c r="I1120" s="52"/>
      <c r="J1120" s="52"/>
    </row>
    <row r="1121" spans="9:10" x14ac:dyDescent="0.25">
      <c r="I1121" s="52"/>
      <c r="J1121" s="52"/>
    </row>
    <row r="1122" spans="9:10" x14ac:dyDescent="0.25">
      <c r="I1122" s="52"/>
      <c r="J1122" s="52"/>
    </row>
    <row r="1123" spans="9:10" x14ac:dyDescent="0.25">
      <c r="I1123" s="52"/>
      <c r="J1123" s="52"/>
    </row>
    <row r="1124" spans="9:10" x14ac:dyDescent="0.25">
      <c r="I1124" s="52"/>
      <c r="J1124" s="52"/>
    </row>
    <row r="1125" spans="9:10" x14ac:dyDescent="0.25">
      <c r="I1125" s="52"/>
      <c r="J1125" s="52"/>
    </row>
    <row r="1126" spans="9:10" x14ac:dyDescent="0.25">
      <c r="I1126" s="52"/>
      <c r="J1126" s="52"/>
    </row>
    <row r="1127" spans="9:10" x14ac:dyDescent="0.25">
      <c r="I1127" s="52"/>
      <c r="J1127" s="52"/>
    </row>
    <row r="1128" spans="9:10" x14ac:dyDescent="0.25">
      <c r="I1128" s="52"/>
      <c r="J1128" s="52"/>
    </row>
    <row r="1129" spans="9:10" x14ac:dyDescent="0.25">
      <c r="I1129" s="52"/>
      <c r="J1129" s="52"/>
    </row>
    <row r="1130" spans="9:10" x14ac:dyDescent="0.25">
      <c r="I1130" s="52"/>
      <c r="J1130" s="52"/>
    </row>
    <row r="1131" spans="9:10" x14ac:dyDescent="0.25">
      <c r="I1131" s="52"/>
      <c r="J1131" s="52"/>
    </row>
    <row r="1132" spans="9:10" x14ac:dyDescent="0.25">
      <c r="I1132" s="52"/>
      <c r="J1132" s="52"/>
    </row>
    <row r="1133" spans="9:10" x14ac:dyDescent="0.25">
      <c r="I1133" s="52"/>
      <c r="J1133" s="52"/>
    </row>
    <row r="1134" spans="9:10" x14ac:dyDescent="0.25">
      <c r="I1134" s="52"/>
      <c r="J1134" s="52"/>
    </row>
    <row r="1135" spans="9:10" x14ac:dyDescent="0.25">
      <c r="I1135" s="52"/>
      <c r="J1135" s="52"/>
    </row>
    <row r="1136" spans="9:10" x14ac:dyDescent="0.25">
      <c r="I1136" s="52"/>
      <c r="J1136" s="52"/>
    </row>
    <row r="1137" spans="9:10" x14ac:dyDescent="0.25">
      <c r="I1137" s="52"/>
      <c r="J1137" s="52"/>
    </row>
    <row r="1138" spans="9:10" x14ac:dyDescent="0.25">
      <c r="I1138" s="52"/>
      <c r="J1138" s="52"/>
    </row>
    <row r="1139" spans="9:10" x14ac:dyDescent="0.25">
      <c r="I1139" s="52"/>
      <c r="J1139" s="52"/>
    </row>
    <row r="1140" spans="9:10" x14ac:dyDescent="0.25">
      <c r="I1140" s="52"/>
      <c r="J1140" s="52"/>
    </row>
    <row r="1141" spans="9:10" x14ac:dyDescent="0.25">
      <c r="I1141" s="52"/>
      <c r="J1141" s="52"/>
    </row>
    <row r="1142" spans="9:10" x14ac:dyDescent="0.25">
      <c r="I1142" s="52"/>
      <c r="J1142" s="52"/>
    </row>
    <row r="1143" spans="9:10" x14ac:dyDescent="0.25">
      <c r="I1143" s="52"/>
      <c r="J1143" s="52"/>
    </row>
    <row r="1144" spans="9:10" x14ac:dyDescent="0.25">
      <c r="I1144" s="52"/>
      <c r="J1144" s="52"/>
    </row>
    <row r="1145" spans="9:10" x14ac:dyDescent="0.25">
      <c r="I1145" s="52"/>
      <c r="J1145" s="52"/>
    </row>
    <row r="1146" spans="9:10" x14ac:dyDescent="0.25">
      <c r="I1146" s="52"/>
      <c r="J1146" s="52"/>
    </row>
    <row r="1147" spans="9:10" x14ac:dyDescent="0.25">
      <c r="I1147" s="52"/>
      <c r="J1147" s="52"/>
    </row>
    <row r="1148" spans="9:10" x14ac:dyDescent="0.25">
      <c r="I1148" s="52"/>
      <c r="J1148" s="52"/>
    </row>
    <row r="1149" spans="9:10" x14ac:dyDescent="0.25">
      <c r="I1149" s="52"/>
      <c r="J1149" s="52"/>
    </row>
    <row r="1150" spans="9:10" x14ac:dyDescent="0.25">
      <c r="I1150" s="52"/>
      <c r="J1150" s="52"/>
    </row>
    <row r="1151" spans="9:10" x14ac:dyDescent="0.25">
      <c r="I1151" s="52"/>
      <c r="J1151" s="52"/>
    </row>
    <row r="1152" spans="9:10" x14ac:dyDescent="0.25">
      <c r="I1152" s="52"/>
      <c r="J1152" s="52"/>
    </row>
    <row r="1153" spans="9:10" x14ac:dyDescent="0.25">
      <c r="I1153" s="52"/>
      <c r="J1153" s="52"/>
    </row>
    <row r="1154" spans="9:10" x14ac:dyDescent="0.25">
      <c r="I1154" s="52"/>
      <c r="J1154" s="52"/>
    </row>
    <row r="1155" spans="9:10" x14ac:dyDescent="0.25">
      <c r="I1155" s="52"/>
      <c r="J1155" s="52"/>
    </row>
    <row r="1156" spans="9:10" x14ac:dyDescent="0.25">
      <c r="I1156" s="52"/>
      <c r="J1156" s="52"/>
    </row>
    <row r="1157" spans="9:10" x14ac:dyDescent="0.25">
      <c r="I1157" s="52"/>
      <c r="J1157" s="52"/>
    </row>
    <row r="1158" spans="9:10" x14ac:dyDescent="0.25">
      <c r="I1158" s="52"/>
      <c r="J1158" s="52"/>
    </row>
    <row r="1159" spans="9:10" x14ac:dyDescent="0.25">
      <c r="I1159" s="52"/>
      <c r="J1159" s="52"/>
    </row>
    <row r="1160" spans="9:10" x14ac:dyDescent="0.25">
      <c r="I1160" s="52"/>
      <c r="J1160" s="52"/>
    </row>
    <row r="1161" spans="9:10" x14ac:dyDescent="0.25">
      <c r="I1161" s="52"/>
      <c r="J1161" s="52"/>
    </row>
    <row r="1162" spans="9:10" x14ac:dyDescent="0.25">
      <c r="I1162" s="52"/>
      <c r="J1162" s="52"/>
    </row>
    <row r="1163" spans="9:10" x14ac:dyDescent="0.25">
      <c r="I1163" s="52"/>
      <c r="J1163" s="52"/>
    </row>
    <row r="1164" spans="9:10" x14ac:dyDescent="0.25">
      <c r="I1164" s="52"/>
      <c r="J1164" s="52"/>
    </row>
    <row r="1165" spans="9:10" x14ac:dyDescent="0.25">
      <c r="I1165" s="52"/>
      <c r="J1165" s="52"/>
    </row>
    <row r="1166" spans="9:10" x14ac:dyDescent="0.25">
      <c r="I1166" s="52"/>
      <c r="J1166" s="52"/>
    </row>
    <row r="1167" spans="9:10" x14ac:dyDescent="0.25">
      <c r="I1167" s="52"/>
      <c r="J1167" s="52"/>
    </row>
    <row r="1168" spans="9:10" x14ac:dyDescent="0.25">
      <c r="I1168" s="52"/>
      <c r="J1168" s="52"/>
    </row>
    <row r="1169" spans="9:10" x14ac:dyDescent="0.25">
      <c r="I1169" s="52"/>
      <c r="J1169" s="52"/>
    </row>
    <row r="1170" spans="9:10" x14ac:dyDescent="0.25">
      <c r="I1170" s="52"/>
      <c r="J1170" s="52"/>
    </row>
    <row r="1171" spans="9:10" x14ac:dyDescent="0.25">
      <c r="I1171" s="52"/>
      <c r="J1171" s="52"/>
    </row>
    <row r="1172" spans="9:10" x14ac:dyDescent="0.25">
      <c r="I1172" s="52"/>
      <c r="J1172" s="52"/>
    </row>
    <row r="1173" spans="9:10" x14ac:dyDescent="0.25">
      <c r="I1173" s="52"/>
      <c r="J1173" s="52"/>
    </row>
    <row r="1174" spans="9:10" x14ac:dyDescent="0.25">
      <c r="I1174" s="52"/>
      <c r="J1174" s="52"/>
    </row>
    <row r="1175" spans="9:10" x14ac:dyDescent="0.25">
      <c r="I1175" s="52"/>
      <c r="J1175" s="52"/>
    </row>
    <row r="1176" spans="9:10" x14ac:dyDescent="0.25">
      <c r="I1176" s="52"/>
      <c r="J1176" s="52"/>
    </row>
    <row r="1177" spans="9:10" x14ac:dyDescent="0.25">
      <c r="I1177" s="52"/>
      <c r="J1177" s="52"/>
    </row>
    <row r="1178" spans="9:10" x14ac:dyDescent="0.25">
      <c r="I1178" s="52"/>
      <c r="J1178" s="52"/>
    </row>
    <row r="1179" spans="9:10" x14ac:dyDescent="0.25">
      <c r="I1179" s="52"/>
      <c r="J1179" s="52"/>
    </row>
    <row r="1180" spans="9:10" x14ac:dyDescent="0.25">
      <c r="I1180" s="52"/>
      <c r="J1180" s="52"/>
    </row>
    <row r="1181" spans="9:10" x14ac:dyDescent="0.25">
      <c r="I1181" s="52"/>
      <c r="J1181" s="52"/>
    </row>
    <row r="1182" spans="9:10" x14ac:dyDescent="0.25">
      <c r="I1182" s="52"/>
      <c r="J1182" s="52"/>
    </row>
    <row r="1183" spans="9:10" x14ac:dyDescent="0.25">
      <c r="I1183" s="52"/>
      <c r="J1183" s="52"/>
    </row>
    <row r="1184" spans="9:10" x14ac:dyDescent="0.25">
      <c r="I1184" s="52"/>
      <c r="J1184" s="52"/>
    </row>
    <row r="1185" spans="9:10" x14ac:dyDescent="0.25">
      <c r="I1185" s="52"/>
      <c r="J1185" s="52"/>
    </row>
    <row r="1186" spans="9:10" x14ac:dyDescent="0.25">
      <c r="I1186" s="52"/>
      <c r="J1186" s="52"/>
    </row>
    <row r="1187" spans="9:10" x14ac:dyDescent="0.25">
      <c r="I1187" s="52"/>
      <c r="J1187" s="52"/>
    </row>
    <row r="1188" spans="9:10" x14ac:dyDescent="0.25">
      <c r="I1188" s="52"/>
      <c r="J1188" s="52"/>
    </row>
    <row r="1189" spans="9:10" x14ac:dyDescent="0.25">
      <c r="I1189" s="52"/>
      <c r="J1189" s="52"/>
    </row>
    <row r="1190" spans="9:10" x14ac:dyDescent="0.25">
      <c r="I1190" s="52"/>
      <c r="J1190" s="52"/>
    </row>
    <row r="1191" spans="9:10" x14ac:dyDescent="0.25">
      <c r="I1191" s="52"/>
      <c r="J1191" s="52"/>
    </row>
    <row r="1192" spans="9:10" x14ac:dyDescent="0.25">
      <c r="I1192" s="52"/>
      <c r="J1192" s="52"/>
    </row>
    <row r="1193" spans="9:10" x14ac:dyDescent="0.25">
      <c r="I1193" s="52"/>
      <c r="J1193" s="52"/>
    </row>
    <row r="1194" spans="9:10" x14ac:dyDescent="0.25">
      <c r="I1194" s="52"/>
      <c r="J1194" s="52"/>
    </row>
    <row r="1195" spans="9:10" x14ac:dyDescent="0.25">
      <c r="I1195" s="52"/>
      <c r="J1195" s="52"/>
    </row>
    <row r="1196" spans="9:10" x14ac:dyDescent="0.25">
      <c r="I1196" s="52"/>
      <c r="J1196" s="52"/>
    </row>
    <row r="1197" spans="9:10" x14ac:dyDescent="0.25">
      <c r="I1197" s="52"/>
      <c r="J1197" s="52"/>
    </row>
    <row r="1198" spans="9:10" x14ac:dyDescent="0.25">
      <c r="I1198" s="52"/>
      <c r="J1198" s="52"/>
    </row>
    <row r="1199" spans="9:10" x14ac:dyDescent="0.25">
      <c r="I1199" s="52"/>
      <c r="J1199" s="52"/>
    </row>
    <row r="1200" spans="9:10" x14ac:dyDescent="0.25">
      <c r="I1200" s="52"/>
      <c r="J1200" s="52"/>
    </row>
    <row r="1201" spans="9:10" x14ac:dyDescent="0.25">
      <c r="I1201" s="52"/>
      <c r="J1201" s="52"/>
    </row>
    <row r="1202" spans="9:10" x14ac:dyDescent="0.25">
      <c r="I1202" s="52"/>
      <c r="J1202" s="52"/>
    </row>
    <row r="1203" spans="9:10" x14ac:dyDescent="0.25">
      <c r="I1203" s="52"/>
      <c r="J1203" s="52"/>
    </row>
    <row r="1204" spans="9:10" x14ac:dyDescent="0.25">
      <c r="I1204" s="52"/>
      <c r="J1204" s="52"/>
    </row>
    <row r="1205" spans="9:10" x14ac:dyDescent="0.25">
      <c r="I1205" s="52"/>
      <c r="J1205" s="52"/>
    </row>
    <row r="1206" spans="9:10" x14ac:dyDescent="0.25">
      <c r="I1206" s="52"/>
      <c r="J1206" s="52"/>
    </row>
    <row r="1207" spans="9:10" x14ac:dyDescent="0.25">
      <c r="I1207" s="52"/>
      <c r="J1207" s="52"/>
    </row>
    <row r="1208" spans="9:10" x14ac:dyDescent="0.25">
      <c r="I1208" s="52"/>
      <c r="J1208" s="52"/>
    </row>
    <row r="1209" spans="9:10" x14ac:dyDescent="0.25">
      <c r="I1209" s="52"/>
      <c r="J1209" s="52"/>
    </row>
    <row r="1210" spans="9:10" x14ac:dyDescent="0.25">
      <c r="I1210" s="52"/>
      <c r="J1210" s="52"/>
    </row>
    <row r="1211" spans="9:10" x14ac:dyDescent="0.25">
      <c r="I1211" s="52"/>
      <c r="J1211" s="52"/>
    </row>
    <row r="1212" spans="9:10" x14ac:dyDescent="0.25">
      <c r="I1212" s="52"/>
      <c r="J1212" s="52"/>
    </row>
    <row r="1213" spans="9:10" x14ac:dyDescent="0.25">
      <c r="I1213" s="52"/>
      <c r="J1213" s="52"/>
    </row>
    <row r="1214" spans="9:10" x14ac:dyDescent="0.25">
      <c r="I1214" s="52"/>
      <c r="J1214" s="52"/>
    </row>
    <row r="1215" spans="9:10" x14ac:dyDescent="0.25">
      <c r="I1215" s="52"/>
      <c r="J1215" s="52"/>
    </row>
    <row r="1216" spans="9:10" x14ac:dyDescent="0.25">
      <c r="I1216" s="52"/>
      <c r="J1216" s="52"/>
    </row>
    <row r="1217" spans="9:10" x14ac:dyDescent="0.25">
      <c r="I1217" s="52"/>
      <c r="J1217" s="52"/>
    </row>
    <row r="1218" spans="9:10" x14ac:dyDescent="0.25">
      <c r="I1218" s="52"/>
      <c r="J1218" s="52"/>
    </row>
    <row r="1219" spans="9:10" x14ac:dyDescent="0.25">
      <c r="I1219" s="52"/>
      <c r="J1219" s="52"/>
    </row>
    <row r="1220" spans="9:10" x14ac:dyDescent="0.25">
      <c r="I1220" s="52"/>
      <c r="J1220" s="52"/>
    </row>
    <row r="1221" spans="9:10" x14ac:dyDescent="0.25">
      <c r="I1221" s="52"/>
      <c r="J1221" s="52"/>
    </row>
    <row r="1222" spans="9:10" x14ac:dyDescent="0.25">
      <c r="I1222" s="52"/>
      <c r="J1222" s="52"/>
    </row>
    <row r="1223" spans="9:10" x14ac:dyDescent="0.25">
      <c r="I1223" s="52"/>
      <c r="J1223" s="52"/>
    </row>
    <row r="1224" spans="9:10" x14ac:dyDescent="0.25">
      <c r="I1224" s="52"/>
      <c r="J1224" s="52"/>
    </row>
    <row r="1225" spans="9:10" x14ac:dyDescent="0.25">
      <c r="I1225" s="52"/>
      <c r="J1225" s="52"/>
    </row>
    <row r="1226" spans="9:10" x14ac:dyDescent="0.25">
      <c r="I1226" s="52"/>
      <c r="J1226" s="52"/>
    </row>
    <row r="1227" spans="9:10" x14ac:dyDescent="0.25">
      <c r="I1227" s="52"/>
      <c r="J1227" s="52"/>
    </row>
    <row r="1228" spans="9:10" x14ac:dyDescent="0.25">
      <c r="I1228" s="52"/>
      <c r="J1228" s="52"/>
    </row>
    <row r="1229" spans="9:10" x14ac:dyDescent="0.25">
      <c r="I1229" s="52"/>
      <c r="J1229" s="52"/>
    </row>
    <row r="1230" spans="9:10" x14ac:dyDescent="0.25">
      <c r="I1230" s="52"/>
      <c r="J1230" s="52"/>
    </row>
    <row r="1231" spans="9:10" x14ac:dyDescent="0.25">
      <c r="I1231" s="52"/>
      <c r="J1231" s="52"/>
    </row>
    <row r="1232" spans="9:10" x14ac:dyDescent="0.25">
      <c r="I1232" s="52"/>
      <c r="J1232" s="52"/>
    </row>
    <row r="1233" spans="9:10" x14ac:dyDescent="0.25">
      <c r="I1233" s="52"/>
      <c r="J1233" s="52"/>
    </row>
    <row r="1234" spans="9:10" x14ac:dyDescent="0.25">
      <c r="I1234" s="52"/>
      <c r="J1234" s="52"/>
    </row>
    <row r="1235" spans="9:10" x14ac:dyDescent="0.25">
      <c r="I1235" s="52"/>
      <c r="J1235" s="52"/>
    </row>
    <row r="1236" spans="9:10" x14ac:dyDescent="0.25">
      <c r="I1236" s="52"/>
      <c r="J1236" s="52"/>
    </row>
    <row r="1237" spans="9:10" x14ac:dyDescent="0.25">
      <c r="I1237" s="52"/>
      <c r="J1237" s="52"/>
    </row>
    <row r="1238" spans="9:10" x14ac:dyDescent="0.25">
      <c r="I1238" s="52"/>
      <c r="J1238" s="52"/>
    </row>
    <row r="1239" spans="9:10" x14ac:dyDescent="0.25">
      <c r="I1239" s="52"/>
      <c r="J1239" s="52"/>
    </row>
    <row r="1240" spans="9:10" x14ac:dyDescent="0.25">
      <c r="I1240" s="52"/>
      <c r="J1240" s="52"/>
    </row>
    <row r="1241" spans="9:10" x14ac:dyDescent="0.25">
      <c r="I1241" s="52"/>
      <c r="J1241" s="52"/>
    </row>
    <row r="1242" spans="9:10" x14ac:dyDescent="0.25">
      <c r="I1242" s="52"/>
      <c r="J1242" s="52"/>
    </row>
    <row r="1243" spans="9:10" x14ac:dyDescent="0.25">
      <c r="I1243" s="52"/>
      <c r="J1243" s="52"/>
    </row>
    <row r="1244" spans="9:10" x14ac:dyDescent="0.25">
      <c r="I1244" s="52"/>
      <c r="J1244" s="52"/>
    </row>
    <row r="1245" spans="9:10" x14ac:dyDescent="0.25">
      <c r="I1245" s="52"/>
      <c r="J1245" s="52"/>
    </row>
    <row r="1246" spans="9:10" x14ac:dyDescent="0.25">
      <c r="I1246" s="52"/>
      <c r="J1246" s="52"/>
    </row>
    <row r="1247" spans="9:10" x14ac:dyDescent="0.25">
      <c r="I1247" s="52"/>
      <c r="J1247" s="52"/>
    </row>
    <row r="1248" spans="9:10" x14ac:dyDescent="0.25">
      <c r="I1248" s="52"/>
      <c r="J1248" s="52"/>
    </row>
    <row r="1249" spans="9:10" x14ac:dyDescent="0.25">
      <c r="I1249" s="52"/>
      <c r="J1249" s="52"/>
    </row>
    <row r="1250" spans="9:10" x14ac:dyDescent="0.25">
      <c r="I1250" s="52"/>
      <c r="J1250" s="52"/>
    </row>
    <row r="1251" spans="9:10" x14ac:dyDescent="0.25">
      <c r="I1251" s="52"/>
      <c r="J1251" s="52"/>
    </row>
    <row r="1252" spans="9:10" x14ac:dyDescent="0.25">
      <c r="I1252" s="52"/>
      <c r="J1252" s="52"/>
    </row>
    <row r="1253" spans="9:10" x14ac:dyDescent="0.25">
      <c r="I1253" s="52"/>
      <c r="J1253" s="52"/>
    </row>
    <row r="1254" spans="9:10" x14ac:dyDescent="0.25">
      <c r="I1254" s="52"/>
      <c r="J1254" s="52"/>
    </row>
    <row r="1255" spans="9:10" x14ac:dyDescent="0.25">
      <c r="I1255" s="52"/>
      <c r="J1255" s="52"/>
    </row>
    <row r="1256" spans="9:10" x14ac:dyDescent="0.25">
      <c r="I1256" s="52"/>
      <c r="J1256" s="52"/>
    </row>
    <row r="1257" spans="9:10" x14ac:dyDescent="0.25">
      <c r="I1257" s="52"/>
      <c r="J1257" s="52"/>
    </row>
    <row r="1258" spans="9:10" x14ac:dyDescent="0.25">
      <c r="I1258" s="52"/>
      <c r="J1258" s="52"/>
    </row>
    <row r="1259" spans="9:10" x14ac:dyDescent="0.25">
      <c r="I1259" s="52"/>
      <c r="J1259" s="52"/>
    </row>
    <row r="1260" spans="9:10" x14ac:dyDescent="0.25">
      <c r="I1260" s="52"/>
      <c r="J1260" s="52"/>
    </row>
    <row r="1261" spans="9:10" x14ac:dyDescent="0.25">
      <c r="I1261" s="52"/>
      <c r="J1261" s="52"/>
    </row>
    <row r="1262" spans="9:10" x14ac:dyDescent="0.25">
      <c r="I1262" s="52"/>
      <c r="J1262" s="52"/>
    </row>
    <row r="1263" spans="9:10" x14ac:dyDescent="0.25">
      <c r="I1263" s="52"/>
      <c r="J1263" s="52"/>
    </row>
    <row r="1264" spans="9:10" x14ac:dyDescent="0.25">
      <c r="I1264" s="52"/>
      <c r="J1264" s="52"/>
    </row>
    <row r="1265" spans="9:10" x14ac:dyDescent="0.25">
      <c r="I1265" s="52"/>
      <c r="J1265" s="52"/>
    </row>
    <row r="1266" spans="9:10" x14ac:dyDescent="0.25">
      <c r="I1266" s="52"/>
      <c r="J1266" s="52"/>
    </row>
    <row r="1267" spans="9:10" x14ac:dyDescent="0.25">
      <c r="I1267" s="52"/>
      <c r="J1267" s="52"/>
    </row>
    <row r="1268" spans="9:10" x14ac:dyDescent="0.25">
      <c r="I1268" s="52"/>
      <c r="J1268" s="52"/>
    </row>
    <row r="1269" spans="9:10" x14ac:dyDescent="0.25">
      <c r="I1269" s="52"/>
      <c r="J1269" s="52"/>
    </row>
    <row r="1270" spans="9:10" x14ac:dyDescent="0.25">
      <c r="I1270" s="52"/>
      <c r="J1270" s="52"/>
    </row>
    <row r="1271" spans="9:10" x14ac:dyDescent="0.25">
      <c r="I1271" s="52"/>
      <c r="J1271" s="52"/>
    </row>
    <row r="1272" spans="9:10" x14ac:dyDescent="0.25">
      <c r="I1272" s="52"/>
      <c r="J1272" s="52"/>
    </row>
    <row r="1273" spans="9:10" x14ac:dyDescent="0.25">
      <c r="I1273" s="52"/>
      <c r="J1273" s="52"/>
    </row>
    <row r="1274" spans="9:10" x14ac:dyDescent="0.25">
      <c r="I1274" s="52"/>
      <c r="J1274" s="52"/>
    </row>
    <row r="1275" spans="9:10" x14ac:dyDescent="0.25">
      <c r="I1275" s="52"/>
      <c r="J1275" s="52"/>
    </row>
    <row r="1276" spans="9:10" x14ac:dyDescent="0.25">
      <c r="I1276" s="52"/>
      <c r="J1276" s="52"/>
    </row>
    <row r="1277" spans="9:10" x14ac:dyDescent="0.25">
      <c r="I1277" s="52"/>
      <c r="J1277" s="52"/>
    </row>
    <row r="1278" spans="9:10" x14ac:dyDescent="0.25">
      <c r="I1278" s="52"/>
      <c r="J1278" s="52"/>
    </row>
    <row r="1279" spans="9:10" x14ac:dyDescent="0.25">
      <c r="I1279" s="52"/>
      <c r="J1279" s="52"/>
    </row>
    <row r="1280" spans="9:10" x14ac:dyDescent="0.25">
      <c r="I1280" s="52"/>
      <c r="J1280" s="52"/>
    </row>
    <row r="1281" spans="9:10" x14ac:dyDescent="0.25">
      <c r="I1281" s="52"/>
      <c r="J1281" s="52"/>
    </row>
    <row r="1282" spans="9:10" x14ac:dyDescent="0.25">
      <c r="I1282" s="52"/>
      <c r="J1282" s="52"/>
    </row>
    <row r="1283" spans="9:10" x14ac:dyDescent="0.25">
      <c r="I1283" s="52"/>
      <c r="J1283" s="52"/>
    </row>
    <row r="1284" spans="9:10" x14ac:dyDescent="0.25">
      <c r="I1284" s="52"/>
      <c r="J1284" s="52"/>
    </row>
    <row r="1285" spans="9:10" x14ac:dyDescent="0.25">
      <c r="I1285" s="52"/>
      <c r="J1285" s="52"/>
    </row>
    <row r="1286" spans="9:10" x14ac:dyDescent="0.25">
      <c r="I1286" s="52"/>
      <c r="J1286" s="52"/>
    </row>
    <row r="1287" spans="9:10" x14ac:dyDescent="0.25">
      <c r="I1287" s="52"/>
      <c r="J1287" s="52"/>
    </row>
    <row r="1288" spans="9:10" x14ac:dyDescent="0.25">
      <c r="I1288" s="52"/>
      <c r="J1288" s="52"/>
    </row>
    <row r="1289" spans="9:10" x14ac:dyDescent="0.25">
      <c r="I1289" s="52"/>
      <c r="J1289" s="52"/>
    </row>
    <row r="1290" spans="9:10" x14ac:dyDescent="0.25">
      <c r="I1290" s="52"/>
      <c r="J1290" s="52"/>
    </row>
    <row r="1291" spans="9:10" x14ac:dyDescent="0.25">
      <c r="I1291" s="52"/>
      <c r="J1291" s="52"/>
    </row>
    <row r="1292" spans="9:10" x14ac:dyDescent="0.25">
      <c r="I1292" s="52"/>
      <c r="J1292" s="52"/>
    </row>
    <row r="1293" spans="9:10" x14ac:dyDescent="0.25">
      <c r="I1293" s="52"/>
      <c r="J1293" s="52"/>
    </row>
    <row r="1294" spans="9:10" x14ac:dyDescent="0.25">
      <c r="I1294" s="52"/>
      <c r="J1294" s="52"/>
    </row>
    <row r="1295" spans="9:10" x14ac:dyDescent="0.25">
      <c r="I1295" s="52"/>
      <c r="J1295" s="52"/>
    </row>
    <row r="1296" spans="9:10" x14ac:dyDescent="0.25">
      <c r="I1296" s="52"/>
      <c r="J1296" s="52"/>
    </row>
    <row r="1297" spans="9:10" x14ac:dyDescent="0.25">
      <c r="I1297" s="52"/>
      <c r="J1297" s="52"/>
    </row>
    <row r="1298" spans="9:10" x14ac:dyDescent="0.25">
      <c r="I1298" s="52"/>
      <c r="J1298" s="52"/>
    </row>
    <row r="1299" spans="9:10" x14ac:dyDescent="0.25">
      <c r="I1299" s="52"/>
      <c r="J1299" s="52"/>
    </row>
    <row r="1300" spans="9:10" x14ac:dyDescent="0.25">
      <c r="I1300" s="52"/>
      <c r="J1300" s="52"/>
    </row>
    <row r="1301" spans="9:10" x14ac:dyDescent="0.25">
      <c r="I1301" s="52"/>
      <c r="J1301" s="52"/>
    </row>
    <row r="1302" spans="9:10" x14ac:dyDescent="0.25">
      <c r="I1302" s="52"/>
      <c r="J1302" s="52"/>
    </row>
    <row r="1303" spans="9:10" x14ac:dyDescent="0.25">
      <c r="I1303" s="52"/>
      <c r="J1303" s="52"/>
    </row>
    <row r="1304" spans="9:10" x14ac:dyDescent="0.25">
      <c r="I1304" s="52"/>
      <c r="J1304" s="52"/>
    </row>
    <row r="1305" spans="9:10" x14ac:dyDescent="0.25">
      <c r="I1305" s="52"/>
      <c r="J1305" s="52"/>
    </row>
    <row r="1306" spans="9:10" x14ac:dyDescent="0.25">
      <c r="I1306" s="52"/>
      <c r="J1306" s="52"/>
    </row>
    <row r="1307" spans="9:10" x14ac:dyDescent="0.25">
      <c r="I1307" s="52"/>
      <c r="J1307" s="52"/>
    </row>
    <row r="1308" spans="9:10" x14ac:dyDescent="0.25">
      <c r="I1308" s="52"/>
      <c r="J1308" s="52"/>
    </row>
    <row r="1309" spans="9:10" x14ac:dyDescent="0.25">
      <c r="I1309" s="52"/>
      <c r="J1309" s="52"/>
    </row>
    <row r="1310" spans="9:10" x14ac:dyDescent="0.25">
      <c r="I1310" s="52"/>
      <c r="J1310" s="52"/>
    </row>
    <row r="1311" spans="9:10" x14ac:dyDescent="0.25">
      <c r="I1311" s="52"/>
      <c r="J1311" s="52"/>
    </row>
    <row r="1312" spans="9:10" x14ac:dyDescent="0.25">
      <c r="I1312" s="52"/>
      <c r="J1312" s="52"/>
    </row>
    <row r="1313" spans="9:10" x14ac:dyDescent="0.25">
      <c r="I1313" s="52"/>
      <c r="J1313" s="52"/>
    </row>
    <row r="1314" spans="9:10" x14ac:dyDescent="0.25">
      <c r="I1314" s="52"/>
      <c r="J1314" s="52"/>
    </row>
    <row r="1315" spans="9:10" x14ac:dyDescent="0.25">
      <c r="I1315" s="52"/>
      <c r="J1315" s="52"/>
    </row>
    <row r="1316" spans="9:10" x14ac:dyDescent="0.25">
      <c r="I1316" s="52"/>
      <c r="J1316" s="52"/>
    </row>
    <row r="1317" spans="9:10" x14ac:dyDescent="0.25">
      <c r="I1317" s="52"/>
      <c r="J1317" s="52"/>
    </row>
    <row r="1318" spans="9:10" x14ac:dyDescent="0.25">
      <c r="I1318" s="52"/>
      <c r="J1318" s="52"/>
    </row>
    <row r="1319" spans="9:10" x14ac:dyDescent="0.25">
      <c r="I1319" s="52"/>
      <c r="J1319" s="52"/>
    </row>
    <row r="1320" spans="9:10" x14ac:dyDescent="0.25">
      <c r="I1320" s="52"/>
      <c r="J1320" s="52"/>
    </row>
    <row r="1321" spans="9:10" x14ac:dyDescent="0.25">
      <c r="I1321" s="52"/>
      <c r="J1321" s="52"/>
    </row>
    <row r="1322" spans="9:10" x14ac:dyDescent="0.25">
      <c r="I1322" s="52"/>
      <c r="J1322" s="52"/>
    </row>
    <row r="1323" spans="9:10" x14ac:dyDescent="0.25">
      <c r="I1323" s="52"/>
      <c r="J1323" s="52"/>
    </row>
    <row r="1324" spans="9:10" x14ac:dyDescent="0.25">
      <c r="I1324" s="52"/>
      <c r="J1324" s="52"/>
    </row>
    <row r="1325" spans="9:10" x14ac:dyDescent="0.25">
      <c r="I1325" s="52"/>
      <c r="J1325" s="52"/>
    </row>
    <row r="1326" spans="9:10" x14ac:dyDescent="0.25">
      <c r="I1326" s="52"/>
      <c r="J1326" s="52"/>
    </row>
    <row r="1327" spans="9:10" x14ac:dyDescent="0.25">
      <c r="I1327" s="52"/>
      <c r="J1327" s="52"/>
    </row>
    <row r="1328" spans="9:10" x14ac:dyDescent="0.25">
      <c r="I1328" s="52"/>
      <c r="J1328" s="52"/>
    </row>
    <row r="1329" spans="9:10" x14ac:dyDescent="0.25">
      <c r="I1329" s="52"/>
      <c r="J1329" s="52"/>
    </row>
    <row r="1330" spans="9:10" x14ac:dyDescent="0.25">
      <c r="I1330" s="52"/>
      <c r="J1330" s="52"/>
    </row>
    <row r="1331" spans="9:10" x14ac:dyDescent="0.25">
      <c r="I1331" s="52"/>
      <c r="J1331" s="52"/>
    </row>
    <row r="1332" spans="9:10" x14ac:dyDescent="0.25">
      <c r="I1332" s="52"/>
      <c r="J1332" s="52"/>
    </row>
    <row r="1333" spans="9:10" x14ac:dyDescent="0.25">
      <c r="I1333" s="52"/>
      <c r="J1333" s="52"/>
    </row>
    <row r="1334" spans="9:10" x14ac:dyDescent="0.25">
      <c r="I1334" s="52"/>
      <c r="J1334" s="52"/>
    </row>
    <row r="1335" spans="9:10" x14ac:dyDescent="0.25">
      <c r="I1335" s="52"/>
      <c r="J1335" s="52"/>
    </row>
    <row r="1336" spans="9:10" x14ac:dyDescent="0.25">
      <c r="I1336" s="52"/>
      <c r="J1336" s="52"/>
    </row>
    <row r="1337" spans="9:10" x14ac:dyDescent="0.25">
      <c r="I1337" s="52"/>
      <c r="J1337" s="52"/>
    </row>
    <row r="1338" spans="9:10" x14ac:dyDescent="0.25">
      <c r="I1338" s="52"/>
      <c r="J1338" s="52"/>
    </row>
    <row r="1339" spans="9:10" x14ac:dyDescent="0.25">
      <c r="I1339" s="52"/>
      <c r="J1339" s="52"/>
    </row>
    <row r="1340" spans="9:10" x14ac:dyDescent="0.25">
      <c r="I1340" s="52"/>
      <c r="J1340" s="52"/>
    </row>
    <row r="1341" spans="9:10" x14ac:dyDescent="0.25">
      <c r="I1341" s="52"/>
      <c r="J1341" s="52"/>
    </row>
    <row r="1342" spans="9:10" x14ac:dyDescent="0.25">
      <c r="I1342" s="52"/>
      <c r="J1342" s="52"/>
    </row>
    <row r="1343" spans="9:10" x14ac:dyDescent="0.25">
      <c r="I1343" s="52"/>
      <c r="J1343" s="52"/>
    </row>
    <row r="1344" spans="9:10" x14ac:dyDescent="0.25">
      <c r="I1344" s="52"/>
      <c r="J1344" s="52"/>
    </row>
    <row r="1345" spans="9:10" x14ac:dyDescent="0.25">
      <c r="I1345" s="52"/>
      <c r="J1345" s="52"/>
    </row>
    <row r="1346" spans="9:10" x14ac:dyDescent="0.25">
      <c r="I1346" s="52"/>
      <c r="J1346" s="52"/>
    </row>
    <row r="1347" spans="9:10" x14ac:dyDescent="0.25">
      <c r="I1347" s="52"/>
      <c r="J1347" s="52"/>
    </row>
    <row r="1348" spans="9:10" x14ac:dyDescent="0.25">
      <c r="I1348" s="52"/>
      <c r="J1348" s="52"/>
    </row>
    <row r="1349" spans="9:10" x14ac:dyDescent="0.25">
      <c r="I1349" s="52"/>
      <c r="J1349" s="52"/>
    </row>
    <row r="1350" spans="9:10" x14ac:dyDescent="0.25">
      <c r="I1350" s="52"/>
      <c r="J1350" s="52"/>
    </row>
    <row r="1351" spans="9:10" x14ac:dyDescent="0.25">
      <c r="I1351" s="52"/>
      <c r="J1351" s="52"/>
    </row>
    <row r="1352" spans="9:10" x14ac:dyDescent="0.25">
      <c r="I1352" s="52"/>
      <c r="J1352" s="52"/>
    </row>
    <row r="1353" spans="9:10" x14ac:dyDescent="0.25">
      <c r="I1353" s="52"/>
      <c r="J1353" s="52"/>
    </row>
    <row r="1354" spans="9:10" x14ac:dyDescent="0.25">
      <c r="I1354" s="52"/>
      <c r="J1354" s="52"/>
    </row>
    <row r="1355" spans="9:10" x14ac:dyDescent="0.25">
      <c r="I1355" s="52"/>
      <c r="J1355" s="52"/>
    </row>
    <row r="1356" spans="9:10" x14ac:dyDescent="0.25">
      <c r="I1356" s="52"/>
      <c r="J1356" s="52"/>
    </row>
    <row r="1357" spans="9:10" x14ac:dyDescent="0.25">
      <c r="I1357" s="52"/>
      <c r="J1357" s="52"/>
    </row>
    <row r="1358" spans="9:10" x14ac:dyDescent="0.25">
      <c r="I1358" s="52"/>
      <c r="J1358" s="52"/>
    </row>
    <row r="1359" spans="9:10" x14ac:dyDescent="0.25">
      <c r="I1359" s="52"/>
      <c r="J1359" s="52"/>
    </row>
    <row r="1360" spans="9:10" x14ac:dyDescent="0.25">
      <c r="I1360" s="52"/>
      <c r="J1360" s="52"/>
    </row>
    <row r="1361" spans="9:10" x14ac:dyDescent="0.25">
      <c r="I1361" s="52"/>
      <c r="J1361" s="52"/>
    </row>
    <row r="1362" spans="9:10" x14ac:dyDescent="0.25">
      <c r="I1362" s="52"/>
      <c r="J1362" s="52"/>
    </row>
    <row r="1363" spans="9:10" x14ac:dyDescent="0.25">
      <c r="I1363" s="52"/>
      <c r="J1363" s="52"/>
    </row>
    <row r="1364" spans="9:10" x14ac:dyDescent="0.25">
      <c r="I1364" s="52"/>
      <c r="J1364" s="52"/>
    </row>
    <row r="1365" spans="9:10" x14ac:dyDescent="0.25">
      <c r="I1365" s="52"/>
      <c r="J1365" s="52"/>
    </row>
    <row r="1366" spans="9:10" x14ac:dyDescent="0.25">
      <c r="I1366" s="52"/>
      <c r="J1366" s="52"/>
    </row>
    <row r="1367" spans="9:10" x14ac:dyDescent="0.25">
      <c r="I1367" s="52"/>
      <c r="J1367" s="52"/>
    </row>
    <row r="1368" spans="9:10" x14ac:dyDescent="0.25">
      <c r="I1368" s="52"/>
      <c r="J1368" s="52"/>
    </row>
    <row r="1369" spans="9:10" x14ac:dyDescent="0.25">
      <c r="I1369" s="52"/>
      <c r="J1369" s="52"/>
    </row>
    <row r="1370" spans="9:10" x14ac:dyDescent="0.25">
      <c r="I1370" s="52"/>
      <c r="J1370" s="52"/>
    </row>
    <row r="1371" spans="9:10" x14ac:dyDescent="0.25">
      <c r="I1371" s="52"/>
      <c r="J1371" s="52"/>
    </row>
    <row r="1372" spans="9:10" x14ac:dyDescent="0.25">
      <c r="I1372" s="52"/>
      <c r="J1372" s="52"/>
    </row>
    <row r="1373" spans="9:10" x14ac:dyDescent="0.25">
      <c r="I1373" s="52"/>
      <c r="J1373" s="52"/>
    </row>
    <row r="1374" spans="9:10" x14ac:dyDescent="0.25">
      <c r="I1374" s="52"/>
      <c r="J1374" s="52"/>
    </row>
    <row r="1375" spans="9:10" x14ac:dyDescent="0.25">
      <c r="I1375" s="52"/>
      <c r="J1375" s="52"/>
    </row>
    <row r="1376" spans="9:10" x14ac:dyDescent="0.25">
      <c r="I1376" s="52"/>
      <c r="J1376" s="52"/>
    </row>
    <row r="1377" spans="9:10" x14ac:dyDescent="0.25">
      <c r="I1377" s="52"/>
      <c r="J1377" s="52"/>
    </row>
    <row r="1378" spans="9:10" x14ac:dyDescent="0.25">
      <c r="I1378" s="52"/>
      <c r="J1378" s="52"/>
    </row>
    <row r="1379" spans="9:10" x14ac:dyDescent="0.25">
      <c r="I1379" s="52"/>
      <c r="J1379" s="52"/>
    </row>
    <row r="1380" spans="9:10" x14ac:dyDescent="0.25">
      <c r="I1380" s="52"/>
      <c r="J1380" s="52"/>
    </row>
    <row r="1381" spans="9:10" x14ac:dyDescent="0.25">
      <c r="I1381" s="52"/>
      <c r="J1381" s="52"/>
    </row>
    <row r="1382" spans="9:10" x14ac:dyDescent="0.25">
      <c r="I1382" s="52"/>
      <c r="J1382" s="52"/>
    </row>
    <row r="1383" spans="9:10" x14ac:dyDescent="0.25">
      <c r="I1383" s="52"/>
      <c r="J1383" s="52"/>
    </row>
    <row r="1384" spans="9:10" x14ac:dyDescent="0.25">
      <c r="I1384" s="52"/>
      <c r="J1384" s="52"/>
    </row>
    <row r="1385" spans="9:10" x14ac:dyDescent="0.25">
      <c r="I1385" s="52"/>
      <c r="J1385" s="52"/>
    </row>
    <row r="1386" spans="9:10" x14ac:dyDescent="0.25">
      <c r="I1386" s="52"/>
      <c r="J1386" s="52"/>
    </row>
    <row r="1387" spans="9:10" x14ac:dyDescent="0.25">
      <c r="I1387" s="52"/>
      <c r="J1387" s="52"/>
    </row>
    <row r="1388" spans="9:10" x14ac:dyDescent="0.25">
      <c r="I1388" s="52"/>
      <c r="J1388" s="52"/>
    </row>
    <row r="1389" spans="9:10" x14ac:dyDescent="0.25">
      <c r="I1389" s="52"/>
      <c r="J1389" s="52"/>
    </row>
    <row r="1390" spans="9:10" x14ac:dyDescent="0.25">
      <c r="I1390" s="52"/>
      <c r="J1390" s="52"/>
    </row>
    <row r="1391" spans="9:10" x14ac:dyDescent="0.25">
      <c r="I1391" s="52"/>
      <c r="J1391" s="52"/>
    </row>
    <row r="1392" spans="9:10" x14ac:dyDescent="0.25">
      <c r="I1392" s="52"/>
      <c r="J1392" s="52"/>
    </row>
    <row r="1393" spans="9:10" x14ac:dyDescent="0.25">
      <c r="I1393" s="52"/>
      <c r="J1393" s="52"/>
    </row>
    <row r="1394" spans="9:10" x14ac:dyDescent="0.25">
      <c r="I1394" s="52"/>
      <c r="J1394" s="52"/>
    </row>
    <row r="1395" spans="9:10" x14ac:dyDescent="0.25">
      <c r="I1395" s="52"/>
      <c r="J1395" s="52"/>
    </row>
    <row r="1396" spans="9:10" x14ac:dyDescent="0.25">
      <c r="I1396" s="52"/>
      <c r="J1396" s="52"/>
    </row>
    <row r="1397" spans="9:10" x14ac:dyDescent="0.25">
      <c r="I1397" s="52"/>
      <c r="J1397" s="52"/>
    </row>
    <row r="1398" spans="9:10" x14ac:dyDescent="0.25">
      <c r="I1398" s="52"/>
      <c r="J1398" s="52"/>
    </row>
    <row r="1399" spans="9:10" x14ac:dyDescent="0.25">
      <c r="I1399" s="52"/>
      <c r="J1399" s="52"/>
    </row>
    <row r="1400" spans="9:10" x14ac:dyDescent="0.25">
      <c r="I1400" s="52"/>
      <c r="J1400" s="52"/>
    </row>
    <row r="1401" spans="9:10" x14ac:dyDescent="0.25">
      <c r="I1401" s="52"/>
      <c r="J1401" s="52"/>
    </row>
    <row r="1402" spans="9:10" x14ac:dyDescent="0.25">
      <c r="I1402" s="52"/>
      <c r="J1402" s="52"/>
    </row>
    <row r="1403" spans="9:10" x14ac:dyDescent="0.25">
      <c r="I1403" s="52"/>
      <c r="J1403" s="52"/>
    </row>
    <row r="1404" spans="9:10" x14ac:dyDescent="0.25">
      <c r="I1404" s="52"/>
      <c r="J1404" s="52"/>
    </row>
    <row r="1405" spans="9:10" x14ac:dyDescent="0.25">
      <c r="I1405" s="52"/>
      <c r="J1405" s="52"/>
    </row>
    <row r="1406" spans="9:10" x14ac:dyDescent="0.25">
      <c r="I1406" s="52"/>
      <c r="J1406" s="52"/>
    </row>
    <row r="1407" spans="9:10" x14ac:dyDescent="0.25">
      <c r="I1407" s="52"/>
      <c r="J1407" s="52"/>
    </row>
    <row r="1408" spans="9:10" x14ac:dyDescent="0.25">
      <c r="I1408" s="52"/>
      <c r="J1408" s="52"/>
    </row>
    <row r="1409" spans="9:10" x14ac:dyDescent="0.25">
      <c r="I1409" s="52"/>
      <c r="J1409" s="52"/>
    </row>
    <row r="1410" spans="9:10" x14ac:dyDescent="0.25">
      <c r="I1410" s="52"/>
      <c r="J1410" s="52"/>
    </row>
    <row r="1411" spans="9:10" x14ac:dyDescent="0.25">
      <c r="I1411" s="52"/>
      <c r="J1411" s="52"/>
    </row>
    <row r="1412" spans="9:10" x14ac:dyDescent="0.25">
      <c r="I1412" s="52"/>
      <c r="J1412" s="52"/>
    </row>
    <row r="1413" spans="9:10" x14ac:dyDescent="0.25">
      <c r="I1413" s="52"/>
      <c r="J1413" s="52"/>
    </row>
    <row r="1414" spans="9:10" x14ac:dyDescent="0.25">
      <c r="I1414" s="52"/>
      <c r="J1414" s="52"/>
    </row>
    <row r="1415" spans="9:10" x14ac:dyDescent="0.25">
      <c r="I1415" s="52"/>
      <c r="J1415" s="52"/>
    </row>
    <row r="1416" spans="9:10" x14ac:dyDescent="0.25">
      <c r="I1416" s="52"/>
      <c r="J1416" s="52"/>
    </row>
    <row r="1417" spans="9:10" x14ac:dyDescent="0.25">
      <c r="I1417" s="52"/>
      <c r="J1417" s="52"/>
    </row>
    <row r="1418" spans="9:10" x14ac:dyDescent="0.25">
      <c r="I1418" s="52"/>
      <c r="J1418" s="52"/>
    </row>
    <row r="1419" spans="9:10" x14ac:dyDescent="0.25">
      <c r="I1419" s="52"/>
      <c r="J1419" s="52"/>
    </row>
    <row r="1420" spans="9:10" x14ac:dyDescent="0.25">
      <c r="I1420" s="52"/>
      <c r="J1420" s="52"/>
    </row>
    <row r="1421" spans="9:10" x14ac:dyDescent="0.25">
      <c r="I1421" s="52"/>
      <c r="J1421" s="52"/>
    </row>
    <row r="1422" spans="9:10" x14ac:dyDescent="0.25">
      <c r="I1422" s="52"/>
      <c r="J1422" s="52"/>
    </row>
    <row r="1423" spans="9:10" x14ac:dyDescent="0.25">
      <c r="I1423" s="52"/>
      <c r="J1423" s="52"/>
    </row>
    <row r="1424" spans="9:10" x14ac:dyDescent="0.25">
      <c r="I1424" s="52"/>
      <c r="J1424" s="52"/>
    </row>
    <row r="1425" spans="9:10" x14ac:dyDescent="0.25">
      <c r="I1425" s="52"/>
      <c r="J1425" s="52"/>
    </row>
    <row r="1426" spans="9:10" x14ac:dyDescent="0.25">
      <c r="I1426" s="52"/>
      <c r="J1426" s="52"/>
    </row>
    <row r="1427" spans="9:10" x14ac:dyDescent="0.25">
      <c r="I1427" s="52"/>
      <c r="J1427" s="52"/>
    </row>
    <row r="1428" spans="9:10" x14ac:dyDescent="0.25">
      <c r="I1428" s="52"/>
      <c r="J1428" s="52"/>
    </row>
    <row r="1429" spans="9:10" x14ac:dyDescent="0.25">
      <c r="I1429" s="52"/>
      <c r="J1429" s="52"/>
    </row>
    <row r="1430" spans="9:10" x14ac:dyDescent="0.25">
      <c r="I1430" s="52"/>
      <c r="J1430" s="52"/>
    </row>
    <row r="1431" spans="9:10" x14ac:dyDescent="0.25">
      <c r="I1431" s="52"/>
      <c r="J1431" s="52"/>
    </row>
    <row r="1432" spans="9:10" x14ac:dyDescent="0.25">
      <c r="I1432" s="52"/>
      <c r="J1432" s="52"/>
    </row>
    <row r="1433" spans="9:10" x14ac:dyDescent="0.25">
      <c r="I1433" s="52"/>
      <c r="J1433" s="52"/>
    </row>
    <row r="1434" spans="9:10" x14ac:dyDescent="0.25">
      <c r="I1434" s="52"/>
      <c r="J1434" s="52"/>
    </row>
    <row r="1435" spans="9:10" x14ac:dyDescent="0.25">
      <c r="I1435" s="52"/>
      <c r="J1435" s="52"/>
    </row>
    <row r="1436" spans="9:10" x14ac:dyDescent="0.25">
      <c r="I1436" s="52"/>
      <c r="J1436" s="52"/>
    </row>
    <row r="1437" spans="9:10" x14ac:dyDescent="0.25">
      <c r="I1437" s="52"/>
      <c r="J1437" s="52"/>
    </row>
    <row r="1438" spans="9:10" x14ac:dyDescent="0.25">
      <c r="I1438" s="52"/>
      <c r="J1438" s="52"/>
    </row>
    <row r="1439" spans="9:10" x14ac:dyDescent="0.25">
      <c r="I1439" s="52"/>
      <c r="J1439" s="52"/>
    </row>
    <row r="1440" spans="9:10" x14ac:dyDescent="0.25">
      <c r="I1440" s="52"/>
      <c r="J1440" s="52"/>
    </row>
    <row r="1441" spans="9:10" x14ac:dyDescent="0.25">
      <c r="I1441" s="52"/>
      <c r="J1441" s="52"/>
    </row>
    <row r="1442" spans="9:10" x14ac:dyDescent="0.25">
      <c r="I1442" s="52"/>
      <c r="J1442" s="52"/>
    </row>
    <row r="1443" spans="9:10" x14ac:dyDescent="0.25">
      <c r="I1443" s="52"/>
      <c r="J1443" s="52"/>
    </row>
    <row r="1444" spans="9:10" x14ac:dyDescent="0.25">
      <c r="I1444" s="52"/>
      <c r="J1444" s="52"/>
    </row>
    <row r="1445" spans="9:10" x14ac:dyDescent="0.25">
      <c r="I1445" s="52"/>
      <c r="J1445" s="52"/>
    </row>
    <row r="1446" spans="9:10" x14ac:dyDescent="0.25">
      <c r="I1446" s="52"/>
      <c r="J1446" s="52"/>
    </row>
    <row r="1447" spans="9:10" x14ac:dyDescent="0.25">
      <c r="I1447" s="52"/>
      <c r="J1447" s="52"/>
    </row>
    <row r="1448" spans="9:10" x14ac:dyDescent="0.25">
      <c r="I1448" s="52"/>
      <c r="J1448" s="52"/>
    </row>
    <row r="1449" spans="9:10" x14ac:dyDescent="0.25">
      <c r="I1449" s="52"/>
      <c r="J1449" s="52"/>
    </row>
    <row r="1450" spans="9:10" x14ac:dyDescent="0.25">
      <c r="I1450" s="52"/>
      <c r="J1450" s="52"/>
    </row>
    <row r="1451" spans="9:10" x14ac:dyDescent="0.25">
      <c r="I1451" s="52"/>
      <c r="J1451" s="52"/>
    </row>
    <row r="1452" spans="9:10" x14ac:dyDescent="0.25">
      <c r="I1452" s="52"/>
      <c r="J1452" s="52"/>
    </row>
    <row r="1453" spans="9:10" x14ac:dyDescent="0.25">
      <c r="I1453" s="52"/>
      <c r="J1453" s="52"/>
    </row>
    <row r="1454" spans="9:10" x14ac:dyDescent="0.25">
      <c r="I1454" s="52"/>
      <c r="J1454" s="52"/>
    </row>
    <row r="1455" spans="9:10" x14ac:dyDescent="0.25">
      <c r="I1455" s="52"/>
      <c r="J1455" s="52"/>
    </row>
    <row r="1456" spans="9:10" x14ac:dyDescent="0.25">
      <c r="I1456" s="52"/>
      <c r="J1456" s="52"/>
    </row>
    <row r="1457" spans="9:10" x14ac:dyDescent="0.25">
      <c r="I1457" s="52"/>
      <c r="J1457" s="52"/>
    </row>
    <row r="1458" spans="9:10" x14ac:dyDescent="0.25">
      <c r="I1458" s="52"/>
      <c r="J1458" s="52"/>
    </row>
    <row r="1459" spans="9:10" x14ac:dyDescent="0.25">
      <c r="I1459" s="52"/>
      <c r="J1459" s="52"/>
    </row>
    <row r="1460" spans="9:10" x14ac:dyDescent="0.25">
      <c r="I1460" s="52"/>
      <c r="J1460" s="52"/>
    </row>
    <row r="1461" spans="9:10" x14ac:dyDescent="0.25">
      <c r="I1461" s="52"/>
      <c r="J1461" s="52"/>
    </row>
    <row r="1462" spans="9:10" x14ac:dyDescent="0.25">
      <c r="I1462" s="52"/>
      <c r="J1462" s="52"/>
    </row>
    <row r="1463" spans="9:10" x14ac:dyDescent="0.25">
      <c r="I1463" s="52"/>
      <c r="J1463" s="52"/>
    </row>
    <row r="1464" spans="9:10" x14ac:dyDescent="0.25">
      <c r="I1464" s="52"/>
      <c r="J1464" s="52"/>
    </row>
    <row r="1465" spans="9:10" x14ac:dyDescent="0.25">
      <c r="I1465" s="52"/>
      <c r="J1465" s="52"/>
    </row>
    <row r="1466" spans="9:10" x14ac:dyDescent="0.25">
      <c r="I1466" s="52"/>
      <c r="J1466" s="52"/>
    </row>
    <row r="1467" spans="9:10" x14ac:dyDescent="0.25">
      <c r="I1467" s="52"/>
      <c r="J1467" s="52"/>
    </row>
    <row r="1468" spans="9:10" x14ac:dyDescent="0.25">
      <c r="I1468" s="52"/>
      <c r="J1468" s="52"/>
    </row>
    <row r="1469" spans="9:10" x14ac:dyDescent="0.25">
      <c r="I1469" s="52"/>
      <c r="J1469" s="52"/>
    </row>
    <row r="1470" spans="9:10" x14ac:dyDescent="0.25">
      <c r="I1470" s="52"/>
      <c r="J1470" s="52"/>
    </row>
    <row r="1471" spans="9:10" x14ac:dyDescent="0.25">
      <c r="I1471" s="52"/>
      <c r="J1471" s="52"/>
    </row>
    <row r="1472" spans="9:10" x14ac:dyDescent="0.25">
      <c r="I1472" s="52"/>
      <c r="J1472" s="52"/>
    </row>
    <row r="1473" spans="9:10" x14ac:dyDescent="0.25">
      <c r="I1473" s="52"/>
      <c r="J1473" s="52"/>
    </row>
    <row r="1474" spans="9:10" x14ac:dyDescent="0.25">
      <c r="I1474" s="52"/>
      <c r="J1474" s="52"/>
    </row>
    <row r="1475" spans="9:10" x14ac:dyDescent="0.25">
      <c r="I1475" s="52"/>
      <c r="J1475" s="52"/>
    </row>
    <row r="1476" spans="9:10" x14ac:dyDescent="0.25">
      <c r="I1476" s="52"/>
      <c r="J1476" s="52"/>
    </row>
    <row r="1477" spans="9:10" x14ac:dyDescent="0.25">
      <c r="I1477" s="52"/>
      <c r="J1477" s="52"/>
    </row>
    <row r="1478" spans="9:10" x14ac:dyDescent="0.25">
      <c r="I1478" s="52"/>
      <c r="J1478" s="52"/>
    </row>
    <row r="1479" spans="9:10" x14ac:dyDescent="0.25">
      <c r="I1479" s="52"/>
      <c r="J1479" s="52"/>
    </row>
    <row r="1480" spans="9:10" x14ac:dyDescent="0.25">
      <c r="I1480" s="52"/>
      <c r="J1480" s="52"/>
    </row>
    <row r="1481" spans="9:10" x14ac:dyDescent="0.25">
      <c r="I1481" s="52"/>
      <c r="J1481" s="52"/>
    </row>
    <row r="1482" spans="9:10" x14ac:dyDescent="0.25">
      <c r="I1482" s="52"/>
      <c r="J1482" s="52"/>
    </row>
    <row r="1483" spans="9:10" x14ac:dyDescent="0.25">
      <c r="I1483" s="52"/>
      <c r="J1483" s="52"/>
    </row>
    <row r="1484" spans="9:10" x14ac:dyDescent="0.25">
      <c r="I1484" s="52"/>
      <c r="J1484" s="52"/>
    </row>
    <row r="1485" spans="9:10" x14ac:dyDescent="0.25">
      <c r="I1485" s="52"/>
      <c r="J1485" s="52"/>
    </row>
    <row r="1486" spans="9:10" x14ac:dyDescent="0.25">
      <c r="I1486" s="52"/>
      <c r="J1486" s="52"/>
    </row>
    <row r="1487" spans="9:10" x14ac:dyDescent="0.25">
      <c r="I1487" s="52"/>
      <c r="J1487" s="52"/>
    </row>
    <row r="1488" spans="9:10" x14ac:dyDescent="0.25">
      <c r="I1488" s="52"/>
      <c r="J1488" s="52"/>
    </row>
    <row r="1489" spans="9:10" x14ac:dyDescent="0.25">
      <c r="I1489" s="52"/>
      <c r="J1489" s="52"/>
    </row>
    <row r="1490" spans="9:10" x14ac:dyDescent="0.25">
      <c r="I1490" s="52"/>
      <c r="J1490" s="52"/>
    </row>
    <row r="1491" spans="9:10" x14ac:dyDescent="0.25">
      <c r="I1491" s="52"/>
      <c r="J1491" s="52"/>
    </row>
    <row r="1492" spans="9:10" x14ac:dyDescent="0.25">
      <c r="I1492" s="52"/>
      <c r="J1492" s="52"/>
    </row>
    <row r="1493" spans="9:10" x14ac:dyDescent="0.25">
      <c r="I1493" s="52"/>
      <c r="J1493" s="52"/>
    </row>
    <row r="1494" spans="9:10" x14ac:dyDescent="0.25">
      <c r="I1494" s="52"/>
      <c r="J1494" s="52"/>
    </row>
    <row r="1495" spans="9:10" x14ac:dyDescent="0.25">
      <c r="I1495" s="52"/>
      <c r="J1495" s="52"/>
    </row>
    <row r="1496" spans="9:10" x14ac:dyDescent="0.25">
      <c r="I1496" s="52"/>
      <c r="J1496" s="52"/>
    </row>
    <row r="1497" spans="9:10" x14ac:dyDescent="0.25">
      <c r="I1497" s="52"/>
      <c r="J1497" s="52"/>
    </row>
    <row r="1498" spans="9:10" x14ac:dyDescent="0.25">
      <c r="I1498" s="52"/>
      <c r="J1498" s="52"/>
    </row>
    <row r="1499" spans="9:10" x14ac:dyDescent="0.25">
      <c r="I1499" s="52"/>
      <c r="J1499" s="52"/>
    </row>
    <row r="1500" spans="9:10" x14ac:dyDescent="0.25">
      <c r="I1500" s="52"/>
      <c r="J1500" s="52"/>
    </row>
    <row r="1501" spans="9:10" x14ac:dyDescent="0.25">
      <c r="I1501" s="52"/>
      <c r="J1501" s="52"/>
    </row>
    <row r="1502" spans="9:10" x14ac:dyDescent="0.25">
      <c r="I1502" s="52"/>
      <c r="J1502" s="52"/>
    </row>
    <row r="1503" spans="9:10" x14ac:dyDescent="0.25">
      <c r="I1503" s="52"/>
      <c r="J1503" s="52"/>
    </row>
    <row r="1504" spans="9:10" x14ac:dyDescent="0.25">
      <c r="I1504" s="52"/>
      <c r="J1504" s="52"/>
    </row>
    <row r="1505" spans="9:10" x14ac:dyDescent="0.25">
      <c r="I1505" s="52"/>
      <c r="J1505" s="52"/>
    </row>
    <row r="1506" spans="9:10" x14ac:dyDescent="0.25">
      <c r="I1506" s="52"/>
      <c r="J1506" s="52"/>
    </row>
    <row r="1507" spans="9:10" x14ac:dyDescent="0.25">
      <c r="I1507" s="52"/>
      <c r="J1507" s="52"/>
    </row>
    <row r="1508" spans="9:10" x14ac:dyDescent="0.25">
      <c r="I1508" s="52"/>
      <c r="J1508" s="52"/>
    </row>
    <row r="1509" spans="9:10" x14ac:dyDescent="0.25">
      <c r="I1509" s="52"/>
      <c r="J1509" s="52"/>
    </row>
    <row r="1510" spans="9:10" x14ac:dyDescent="0.25">
      <c r="I1510" s="52"/>
      <c r="J1510" s="52"/>
    </row>
    <row r="1511" spans="9:10" x14ac:dyDescent="0.25">
      <c r="I1511" s="52"/>
      <c r="J1511" s="52"/>
    </row>
    <row r="1512" spans="9:10" x14ac:dyDescent="0.25">
      <c r="I1512" s="52"/>
      <c r="J1512" s="52"/>
    </row>
    <row r="1513" spans="9:10" x14ac:dyDescent="0.25">
      <c r="I1513" s="52"/>
      <c r="J1513" s="52"/>
    </row>
    <row r="1514" spans="9:10" x14ac:dyDescent="0.25">
      <c r="I1514" s="52"/>
      <c r="J1514" s="52"/>
    </row>
    <row r="1515" spans="9:10" x14ac:dyDescent="0.25">
      <c r="I1515" s="52"/>
      <c r="J1515" s="52"/>
    </row>
    <row r="1516" spans="9:10" x14ac:dyDescent="0.25">
      <c r="I1516" s="52"/>
      <c r="J1516" s="52"/>
    </row>
    <row r="1517" spans="9:10" x14ac:dyDescent="0.25">
      <c r="I1517" s="52"/>
      <c r="J1517" s="52"/>
    </row>
    <row r="1518" spans="9:10" x14ac:dyDescent="0.25">
      <c r="I1518" s="52"/>
      <c r="J1518" s="52"/>
    </row>
    <row r="1519" spans="9:10" x14ac:dyDescent="0.25">
      <c r="I1519" s="52"/>
      <c r="J1519" s="52"/>
    </row>
    <row r="1520" spans="9:10" x14ac:dyDescent="0.25">
      <c r="I1520" s="52"/>
      <c r="J1520" s="52"/>
    </row>
    <row r="1521" spans="9:10" x14ac:dyDescent="0.25">
      <c r="I1521" s="52"/>
      <c r="J1521" s="52"/>
    </row>
    <row r="1522" spans="9:10" x14ac:dyDescent="0.25">
      <c r="I1522" s="52"/>
      <c r="J1522" s="52"/>
    </row>
    <row r="1523" spans="9:10" x14ac:dyDescent="0.25">
      <c r="I1523" s="52"/>
      <c r="J1523" s="52"/>
    </row>
    <row r="1524" spans="9:10" x14ac:dyDescent="0.25">
      <c r="I1524" s="52"/>
      <c r="J1524" s="52"/>
    </row>
    <row r="1525" spans="9:10" x14ac:dyDescent="0.25">
      <c r="I1525" s="52"/>
      <c r="J1525" s="52"/>
    </row>
    <row r="1526" spans="9:10" x14ac:dyDescent="0.25">
      <c r="I1526" s="52"/>
      <c r="J1526" s="52"/>
    </row>
    <row r="1527" spans="9:10" x14ac:dyDescent="0.25">
      <c r="I1527" s="52"/>
      <c r="J1527" s="52"/>
    </row>
    <row r="1528" spans="9:10" x14ac:dyDescent="0.25">
      <c r="I1528" s="52"/>
      <c r="J1528" s="52"/>
    </row>
    <row r="1529" spans="9:10" x14ac:dyDescent="0.25">
      <c r="I1529" s="52"/>
      <c r="J1529" s="52"/>
    </row>
    <row r="1530" spans="9:10" x14ac:dyDescent="0.25">
      <c r="I1530" s="52"/>
      <c r="J1530" s="52"/>
    </row>
    <row r="1531" spans="9:10" x14ac:dyDescent="0.25">
      <c r="I1531" s="52"/>
      <c r="J1531" s="52"/>
    </row>
    <row r="1532" spans="9:10" x14ac:dyDescent="0.25">
      <c r="I1532" s="52"/>
      <c r="J1532" s="52"/>
    </row>
    <row r="1533" spans="9:10" x14ac:dyDescent="0.25">
      <c r="I1533" s="52"/>
      <c r="J1533" s="52"/>
    </row>
    <row r="1534" spans="9:10" x14ac:dyDescent="0.25">
      <c r="I1534" s="52"/>
      <c r="J1534" s="52"/>
    </row>
    <row r="1535" spans="9:10" x14ac:dyDescent="0.25">
      <c r="I1535" s="52"/>
      <c r="J1535" s="52"/>
    </row>
    <row r="1536" spans="9:10" x14ac:dyDescent="0.25">
      <c r="I1536" s="52"/>
      <c r="J1536" s="52"/>
    </row>
    <row r="1537" spans="9:10" x14ac:dyDescent="0.25">
      <c r="I1537" s="52"/>
      <c r="J1537" s="52"/>
    </row>
    <row r="1538" spans="9:10" x14ac:dyDescent="0.25">
      <c r="I1538" s="52"/>
      <c r="J1538" s="52"/>
    </row>
    <row r="1539" spans="9:10" x14ac:dyDescent="0.25">
      <c r="I1539" s="52"/>
      <c r="J1539" s="52"/>
    </row>
    <row r="1540" spans="9:10" x14ac:dyDescent="0.25">
      <c r="I1540" s="52"/>
      <c r="J1540" s="52"/>
    </row>
    <row r="1541" spans="9:10" x14ac:dyDescent="0.25">
      <c r="I1541" s="52"/>
      <c r="J1541" s="52"/>
    </row>
    <row r="1542" spans="9:10" x14ac:dyDescent="0.25">
      <c r="I1542" s="52"/>
      <c r="J1542" s="52"/>
    </row>
    <row r="1543" spans="9:10" x14ac:dyDescent="0.25">
      <c r="I1543" s="52"/>
      <c r="J1543" s="52"/>
    </row>
    <row r="1544" spans="9:10" x14ac:dyDescent="0.25">
      <c r="I1544" s="52"/>
      <c r="J1544" s="52"/>
    </row>
    <row r="1545" spans="9:10" x14ac:dyDescent="0.25">
      <c r="I1545" s="52"/>
      <c r="J1545" s="52"/>
    </row>
    <row r="1546" spans="9:10" x14ac:dyDescent="0.25">
      <c r="I1546" s="52"/>
      <c r="J1546" s="52"/>
    </row>
    <row r="1547" spans="9:10" x14ac:dyDescent="0.25">
      <c r="I1547" s="52"/>
      <c r="J1547" s="52"/>
    </row>
    <row r="1548" spans="9:10" x14ac:dyDescent="0.25">
      <c r="I1548" s="52"/>
      <c r="J1548" s="52"/>
    </row>
    <row r="1549" spans="9:10" x14ac:dyDescent="0.25">
      <c r="I1549" s="52"/>
      <c r="J1549" s="52"/>
    </row>
    <row r="1550" spans="9:10" x14ac:dyDescent="0.25">
      <c r="I1550" s="52"/>
      <c r="J1550" s="52"/>
    </row>
    <row r="1551" spans="9:10" x14ac:dyDescent="0.25">
      <c r="I1551" s="52"/>
      <c r="J1551" s="52"/>
    </row>
    <row r="1552" spans="9:10" x14ac:dyDescent="0.25">
      <c r="I1552" s="52"/>
      <c r="J1552" s="52"/>
    </row>
    <row r="1553" spans="9:10" x14ac:dyDescent="0.25">
      <c r="I1553" s="52"/>
      <c r="J1553" s="52"/>
    </row>
    <row r="1554" spans="9:10" x14ac:dyDescent="0.25">
      <c r="I1554" s="52"/>
      <c r="J1554" s="52"/>
    </row>
    <row r="1555" spans="9:10" x14ac:dyDescent="0.25">
      <c r="I1555" s="52"/>
      <c r="J1555" s="52"/>
    </row>
    <row r="1556" spans="9:10" x14ac:dyDescent="0.25">
      <c r="I1556" s="52"/>
      <c r="J1556" s="52"/>
    </row>
    <row r="1557" spans="9:10" x14ac:dyDescent="0.25">
      <c r="I1557" s="52"/>
      <c r="J1557" s="52"/>
    </row>
    <row r="1558" spans="9:10" x14ac:dyDescent="0.25">
      <c r="I1558" s="52"/>
      <c r="J1558" s="52"/>
    </row>
    <row r="1559" spans="9:10" x14ac:dyDescent="0.25">
      <c r="I1559" s="52"/>
      <c r="J1559" s="52"/>
    </row>
    <row r="1560" spans="9:10" x14ac:dyDescent="0.25">
      <c r="I1560" s="52"/>
      <c r="J1560" s="52"/>
    </row>
    <row r="1561" spans="9:10" x14ac:dyDescent="0.25">
      <c r="I1561" s="52"/>
      <c r="J1561" s="52"/>
    </row>
    <row r="1562" spans="9:10" x14ac:dyDescent="0.25">
      <c r="I1562" s="52"/>
      <c r="J1562" s="52"/>
    </row>
    <row r="1563" spans="9:10" x14ac:dyDescent="0.25">
      <c r="I1563" s="52"/>
      <c r="J1563" s="52"/>
    </row>
    <row r="1564" spans="9:10" x14ac:dyDescent="0.25">
      <c r="I1564" s="52"/>
      <c r="J1564" s="52"/>
    </row>
    <row r="1565" spans="9:10" x14ac:dyDescent="0.25">
      <c r="I1565" s="52"/>
      <c r="J1565" s="52"/>
    </row>
    <row r="1566" spans="9:10" x14ac:dyDescent="0.25">
      <c r="I1566" s="52"/>
      <c r="J1566" s="52"/>
    </row>
    <row r="1567" spans="9:10" x14ac:dyDescent="0.25">
      <c r="I1567" s="52"/>
      <c r="J1567" s="52"/>
    </row>
    <row r="1568" spans="9:10" x14ac:dyDescent="0.25">
      <c r="I1568" s="52"/>
      <c r="J1568" s="52"/>
    </row>
    <row r="1569" spans="9:10" x14ac:dyDescent="0.25">
      <c r="I1569" s="52"/>
      <c r="J1569" s="52"/>
    </row>
    <row r="1570" spans="9:10" x14ac:dyDescent="0.25">
      <c r="I1570" s="52"/>
      <c r="J1570" s="52"/>
    </row>
    <row r="1571" spans="9:10" x14ac:dyDescent="0.25">
      <c r="I1571" s="52"/>
      <c r="J1571" s="52"/>
    </row>
    <row r="1572" spans="9:10" x14ac:dyDescent="0.25">
      <c r="I1572" s="52"/>
      <c r="J1572" s="52"/>
    </row>
    <row r="1573" spans="9:10" x14ac:dyDescent="0.25">
      <c r="I1573" s="52"/>
      <c r="J1573" s="52"/>
    </row>
    <row r="1574" spans="9:10" x14ac:dyDescent="0.25">
      <c r="I1574" s="52"/>
      <c r="J1574" s="52"/>
    </row>
    <row r="1575" spans="9:10" x14ac:dyDescent="0.25">
      <c r="I1575" s="52"/>
      <c r="J1575" s="52"/>
    </row>
    <row r="1576" spans="9:10" x14ac:dyDescent="0.25">
      <c r="I1576" s="52"/>
      <c r="J1576" s="52"/>
    </row>
    <row r="1577" spans="9:10" x14ac:dyDescent="0.25">
      <c r="I1577" s="52"/>
      <c r="J1577" s="52"/>
    </row>
    <row r="1578" spans="9:10" x14ac:dyDescent="0.25">
      <c r="I1578" s="52"/>
      <c r="J1578" s="52"/>
    </row>
    <row r="1579" spans="9:10" x14ac:dyDescent="0.25">
      <c r="I1579" s="52"/>
      <c r="J1579" s="52"/>
    </row>
    <row r="1580" spans="9:10" x14ac:dyDescent="0.25">
      <c r="I1580" s="52"/>
      <c r="J1580" s="52"/>
    </row>
    <row r="1581" spans="9:10" x14ac:dyDescent="0.25">
      <c r="I1581" s="52"/>
      <c r="J1581" s="52"/>
    </row>
    <row r="1582" spans="9:10" x14ac:dyDescent="0.25">
      <c r="I1582" s="52"/>
      <c r="J1582" s="52"/>
    </row>
    <row r="1583" spans="9:10" x14ac:dyDescent="0.25">
      <c r="I1583" s="52"/>
      <c r="J1583" s="52"/>
    </row>
    <row r="1584" spans="9:10" x14ac:dyDescent="0.25">
      <c r="I1584" s="52"/>
      <c r="J1584" s="52"/>
    </row>
    <row r="1585" spans="9:10" x14ac:dyDescent="0.25">
      <c r="I1585" s="52"/>
      <c r="J1585" s="52"/>
    </row>
    <row r="1586" spans="9:10" x14ac:dyDescent="0.25">
      <c r="I1586" s="52"/>
      <c r="J1586" s="52"/>
    </row>
    <row r="1587" spans="9:10" x14ac:dyDescent="0.25">
      <c r="I1587" s="52"/>
      <c r="J1587" s="52"/>
    </row>
    <row r="1588" spans="9:10" x14ac:dyDescent="0.25">
      <c r="I1588" s="52"/>
      <c r="J1588" s="52"/>
    </row>
    <row r="1589" spans="9:10" x14ac:dyDescent="0.25">
      <c r="I1589" s="52"/>
      <c r="J1589" s="52"/>
    </row>
    <row r="1590" spans="9:10" x14ac:dyDescent="0.25">
      <c r="I1590" s="52"/>
      <c r="J1590" s="52"/>
    </row>
    <row r="1591" spans="9:10" x14ac:dyDescent="0.25">
      <c r="I1591" s="52"/>
      <c r="J1591" s="52"/>
    </row>
    <row r="1592" spans="9:10" x14ac:dyDescent="0.25">
      <c r="I1592" s="52"/>
      <c r="J1592" s="52"/>
    </row>
    <row r="1593" spans="9:10" x14ac:dyDescent="0.25">
      <c r="I1593" s="52"/>
      <c r="J1593" s="52"/>
    </row>
    <row r="1594" spans="9:10" x14ac:dyDescent="0.25">
      <c r="I1594" s="52"/>
      <c r="J1594" s="52"/>
    </row>
    <row r="1595" spans="9:10" x14ac:dyDescent="0.25">
      <c r="I1595" s="52"/>
      <c r="J1595" s="52"/>
    </row>
    <row r="1596" spans="9:10" x14ac:dyDescent="0.25">
      <c r="I1596" s="52"/>
      <c r="J1596" s="52"/>
    </row>
    <row r="1597" spans="9:10" x14ac:dyDescent="0.25">
      <c r="I1597" s="52"/>
      <c r="J1597" s="52"/>
    </row>
    <row r="1598" spans="9:10" x14ac:dyDescent="0.25">
      <c r="I1598" s="52"/>
      <c r="J1598" s="52"/>
    </row>
    <row r="1599" spans="9:10" x14ac:dyDescent="0.25">
      <c r="I1599" s="52"/>
      <c r="J1599" s="52"/>
    </row>
    <row r="1600" spans="9:10" x14ac:dyDescent="0.25">
      <c r="I1600" s="52"/>
      <c r="J1600" s="52"/>
    </row>
    <row r="1601" spans="9:10" x14ac:dyDescent="0.25">
      <c r="I1601" s="52"/>
      <c r="J1601" s="52"/>
    </row>
    <row r="1602" spans="9:10" x14ac:dyDescent="0.25">
      <c r="I1602" s="52"/>
      <c r="J1602" s="52"/>
    </row>
    <row r="1603" spans="9:10" x14ac:dyDescent="0.25">
      <c r="I1603" s="52"/>
      <c r="J1603" s="52"/>
    </row>
    <row r="1604" spans="9:10" x14ac:dyDescent="0.25">
      <c r="I1604" s="52"/>
      <c r="J1604" s="52"/>
    </row>
    <row r="1605" spans="9:10" x14ac:dyDescent="0.25">
      <c r="I1605" s="52"/>
      <c r="J1605" s="52"/>
    </row>
    <row r="1606" spans="9:10" x14ac:dyDescent="0.25">
      <c r="I1606" s="52"/>
      <c r="J1606" s="52"/>
    </row>
    <row r="1607" spans="9:10" x14ac:dyDescent="0.25">
      <c r="I1607" s="52"/>
      <c r="J1607" s="52"/>
    </row>
    <row r="1608" spans="9:10" x14ac:dyDescent="0.25">
      <c r="I1608" s="52"/>
      <c r="J1608" s="52"/>
    </row>
    <row r="1609" spans="9:10" x14ac:dyDescent="0.25">
      <c r="I1609" s="52"/>
      <c r="J1609" s="52"/>
    </row>
    <row r="1610" spans="9:10" x14ac:dyDescent="0.25">
      <c r="I1610" s="52"/>
      <c r="J1610" s="52"/>
    </row>
    <row r="1611" spans="9:10" x14ac:dyDescent="0.25">
      <c r="I1611" s="52"/>
      <c r="J1611" s="52"/>
    </row>
    <row r="1612" spans="9:10" x14ac:dyDescent="0.25">
      <c r="I1612" s="52"/>
      <c r="J1612" s="52"/>
    </row>
    <row r="1613" spans="9:10" x14ac:dyDescent="0.25">
      <c r="I1613" s="52"/>
      <c r="J1613" s="52"/>
    </row>
    <row r="1614" spans="9:10" x14ac:dyDescent="0.25">
      <c r="I1614" s="52"/>
      <c r="J1614" s="52"/>
    </row>
    <row r="1615" spans="9:10" x14ac:dyDescent="0.25">
      <c r="I1615" s="52"/>
      <c r="J1615" s="52"/>
    </row>
    <row r="1616" spans="9:10" x14ac:dyDescent="0.25">
      <c r="I1616" s="52"/>
      <c r="J1616" s="52"/>
    </row>
    <row r="1617" spans="9:10" x14ac:dyDescent="0.25">
      <c r="I1617" s="52"/>
      <c r="J1617" s="52"/>
    </row>
    <row r="1618" spans="9:10" x14ac:dyDescent="0.25">
      <c r="I1618" s="52"/>
      <c r="J1618" s="52"/>
    </row>
    <row r="1619" spans="9:10" x14ac:dyDescent="0.25">
      <c r="I1619" s="52"/>
      <c r="J1619" s="52"/>
    </row>
    <row r="1620" spans="9:10" x14ac:dyDescent="0.25">
      <c r="I1620" s="52"/>
      <c r="J1620" s="52"/>
    </row>
    <row r="1621" spans="9:10" x14ac:dyDescent="0.25">
      <c r="I1621" s="52"/>
      <c r="J1621" s="52"/>
    </row>
    <row r="1622" spans="9:10" x14ac:dyDescent="0.25">
      <c r="I1622" s="52"/>
      <c r="J1622" s="52"/>
    </row>
    <row r="1623" spans="9:10" x14ac:dyDescent="0.25">
      <c r="I1623" s="52"/>
      <c r="J1623" s="52"/>
    </row>
    <row r="1624" spans="9:10" x14ac:dyDescent="0.25">
      <c r="I1624" s="52"/>
      <c r="J1624" s="52"/>
    </row>
    <row r="1625" spans="9:10" x14ac:dyDescent="0.25">
      <c r="I1625" s="52"/>
      <c r="J1625" s="52"/>
    </row>
    <row r="1626" spans="9:10" x14ac:dyDescent="0.25">
      <c r="I1626" s="52"/>
      <c r="J1626" s="52"/>
    </row>
    <row r="1627" spans="9:10" x14ac:dyDescent="0.25">
      <c r="I1627" s="52"/>
      <c r="J1627" s="52"/>
    </row>
    <row r="1628" spans="9:10" x14ac:dyDescent="0.25">
      <c r="I1628" s="52"/>
      <c r="J1628" s="52"/>
    </row>
    <row r="1629" spans="9:10" x14ac:dyDescent="0.25">
      <c r="I1629" s="52"/>
      <c r="J1629" s="52"/>
    </row>
    <row r="1630" spans="9:10" x14ac:dyDescent="0.25">
      <c r="I1630" s="52"/>
      <c r="J1630" s="52"/>
    </row>
    <row r="1631" spans="9:10" x14ac:dyDescent="0.25">
      <c r="I1631" s="52"/>
      <c r="J1631" s="52"/>
    </row>
    <row r="1632" spans="9:10" x14ac:dyDescent="0.25">
      <c r="I1632" s="52"/>
      <c r="J1632" s="52"/>
    </row>
    <row r="1633" spans="9:10" x14ac:dyDescent="0.25">
      <c r="I1633" s="52"/>
      <c r="J1633" s="52"/>
    </row>
    <row r="1634" spans="9:10" x14ac:dyDescent="0.25">
      <c r="I1634" s="52"/>
      <c r="J1634" s="52"/>
    </row>
    <row r="1635" spans="9:10" x14ac:dyDescent="0.25">
      <c r="I1635" s="52"/>
      <c r="J1635" s="52"/>
    </row>
    <row r="1636" spans="9:10" x14ac:dyDescent="0.25">
      <c r="I1636" s="52"/>
      <c r="J1636" s="52"/>
    </row>
    <row r="1637" spans="9:10" x14ac:dyDescent="0.25">
      <c r="I1637" s="52"/>
      <c r="J1637" s="52"/>
    </row>
    <row r="1638" spans="9:10" x14ac:dyDescent="0.25">
      <c r="I1638" s="52"/>
      <c r="J1638" s="52"/>
    </row>
    <row r="1639" spans="9:10" x14ac:dyDescent="0.25">
      <c r="I1639" s="52"/>
      <c r="J1639" s="52"/>
    </row>
    <row r="1640" spans="9:10" x14ac:dyDescent="0.25">
      <c r="I1640" s="52"/>
      <c r="J1640" s="52"/>
    </row>
    <row r="1641" spans="9:10" x14ac:dyDescent="0.25">
      <c r="I1641" s="52"/>
      <c r="J1641" s="52"/>
    </row>
    <row r="1642" spans="9:10" x14ac:dyDescent="0.25">
      <c r="I1642" s="52"/>
      <c r="J1642" s="52"/>
    </row>
    <row r="1643" spans="9:10" x14ac:dyDescent="0.25">
      <c r="I1643" s="52"/>
      <c r="J1643" s="52"/>
    </row>
    <row r="1644" spans="9:10" x14ac:dyDescent="0.25">
      <c r="I1644" s="52"/>
      <c r="J1644" s="52"/>
    </row>
    <row r="1645" spans="9:10" x14ac:dyDescent="0.25">
      <c r="I1645" s="52"/>
      <c r="J1645" s="52"/>
    </row>
    <row r="1646" spans="9:10" x14ac:dyDescent="0.25">
      <c r="I1646" s="52"/>
      <c r="J1646" s="52"/>
    </row>
    <row r="1647" spans="9:10" x14ac:dyDescent="0.25">
      <c r="I1647" s="52"/>
      <c r="J1647" s="52"/>
    </row>
    <row r="1648" spans="9:10" x14ac:dyDescent="0.25">
      <c r="I1648" s="52"/>
      <c r="J1648" s="52"/>
    </row>
    <row r="1649" spans="9:10" x14ac:dyDescent="0.25">
      <c r="I1649" s="52"/>
      <c r="J1649" s="52"/>
    </row>
    <row r="1650" spans="9:10" x14ac:dyDescent="0.25">
      <c r="I1650" s="52"/>
      <c r="J1650" s="52"/>
    </row>
    <row r="1651" spans="9:10" x14ac:dyDescent="0.25">
      <c r="I1651" s="52"/>
      <c r="J1651" s="52"/>
    </row>
    <row r="1652" spans="9:10" x14ac:dyDescent="0.25">
      <c r="I1652" s="52"/>
      <c r="J1652" s="52"/>
    </row>
    <row r="1653" spans="9:10" x14ac:dyDescent="0.25">
      <c r="I1653" s="52"/>
      <c r="J1653" s="52"/>
    </row>
    <row r="1654" spans="9:10" x14ac:dyDescent="0.25">
      <c r="I1654" s="52"/>
      <c r="J1654" s="52"/>
    </row>
    <row r="1655" spans="9:10" x14ac:dyDescent="0.25">
      <c r="I1655" s="52"/>
      <c r="J1655" s="52"/>
    </row>
    <row r="1656" spans="9:10" x14ac:dyDescent="0.25">
      <c r="I1656" s="52"/>
      <c r="J1656" s="52"/>
    </row>
    <row r="1657" spans="9:10" x14ac:dyDescent="0.25">
      <c r="I1657" s="52"/>
      <c r="J1657" s="52"/>
    </row>
    <row r="1658" spans="9:10" x14ac:dyDescent="0.25">
      <c r="I1658" s="52"/>
      <c r="J1658" s="52"/>
    </row>
    <row r="1659" spans="9:10" x14ac:dyDescent="0.25">
      <c r="I1659" s="52"/>
      <c r="J1659" s="52"/>
    </row>
    <row r="1660" spans="9:10" x14ac:dyDescent="0.25">
      <c r="I1660" s="52"/>
      <c r="J1660" s="52"/>
    </row>
    <row r="1661" spans="9:10" x14ac:dyDescent="0.25">
      <c r="I1661" s="52"/>
      <c r="J1661" s="52"/>
    </row>
    <row r="1662" spans="9:10" x14ac:dyDescent="0.25">
      <c r="I1662" s="52"/>
      <c r="J1662" s="52"/>
    </row>
    <row r="1663" spans="9:10" x14ac:dyDescent="0.25">
      <c r="I1663" s="52"/>
      <c r="J1663" s="52"/>
    </row>
    <row r="1664" spans="9:10" x14ac:dyDescent="0.25">
      <c r="I1664" s="52"/>
      <c r="J1664" s="52"/>
    </row>
    <row r="1665" spans="9:10" x14ac:dyDescent="0.25">
      <c r="I1665" s="52"/>
      <c r="J1665" s="52"/>
    </row>
    <row r="1666" spans="9:10" x14ac:dyDescent="0.25">
      <c r="I1666" s="52"/>
      <c r="J1666" s="52"/>
    </row>
    <row r="1667" spans="9:10" x14ac:dyDescent="0.25">
      <c r="I1667" s="52"/>
      <c r="J1667" s="52"/>
    </row>
    <row r="1668" spans="9:10" x14ac:dyDescent="0.25">
      <c r="I1668" s="52"/>
      <c r="J1668" s="52"/>
    </row>
    <row r="1669" spans="9:10" x14ac:dyDescent="0.25">
      <c r="I1669" s="52"/>
      <c r="J1669" s="52"/>
    </row>
    <row r="1670" spans="9:10" x14ac:dyDescent="0.25">
      <c r="I1670" s="52"/>
      <c r="J1670" s="52"/>
    </row>
    <row r="1671" spans="9:10" x14ac:dyDescent="0.25">
      <c r="I1671" s="52"/>
      <c r="J1671" s="52"/>
    </row>
    <row r="1672" spans="9:10" x14ac:dyDescent="0.25">
      <c r="I1672" s="52"/>
      <c r="J1672" s="52"/>
    </row>
    <row r="1673" spans="9:10" x14ac:dyDescent="0.25">
      <c r="I1673" s="52"/>
      <c r="J1673" s="52"/>
    </row>
    <row r="1674" spans="9:10" x14ac:dyDescent="0.25">
      <c r="I1674" s="52"/>
      <c r="J1674" s="52"/>
    </row>
    <row r="1675" spans="9:10" x14ac:dyDescent="0.25">
      <c r="I1675" s="52"/>
      <c r="J1675" s="52"/>
    </row>
    <row r="1676" spans="9:10" x14ac:dyDescent="0.25">
      <c r="I1676" s="52"/>
      <c r="J1676" s="52"/>
    </row>
    <row r="1677" spans="9:10" x14ac:dyDescent="0.25">
      <c r="I1677" s="52"/>
      <c r="J1677" s="52"/>
    </row>
    <row r="1678" spans="9:10" x14ac:dyDescent="0.25">
      <c r="I1678" s="52"/>
      <c r="J1678" s="52"/>
    </row>
    <row r="1679" spans="9:10" x14ac:dyDescent="0.25">
      <c r="I1679" s="52"/>
      <c r="J1679" s="52"/>
    </row>
    <row r="1680" spans="9:10" x14ac:dyDescent="0.25">
      <c r="I1680" s="52"/>
      <c r="J1680" s="52"/>
    </row>
    <row r="1681" spans="9:10" x14ac:dyDescent="0.25">
      <c r="I1681" s="52"/>
      <c r="J1681" s="52"/>
    </row>
    <row r="1682" spans="9:10" x14ac:dyDescent="0.25">
      <c r="I1682" s="52"/>
      <c r="J1682" s="52"/>
    </row>
    <row r="1683" spans="9:10" x14ac:dyDescent="0.25">
      <c r="I1683" s="52"/>
      <c r="J1683" s="52"/>
    </row>
    <row r="1684" spans="9:10" x14ac:dyDescent="0.25">
      <c r="I1684" s="52"/>
      <c r="J1684" s="52"/>
    </row>
    <row r="1685" spans="9:10" x14ac:dyDescent="0.25">
      <c r="I1685" s="52"/>
      <c r="J1685" s="52"/>
    </row>
    <row r="1686" spans="9:10" x14ac:dyDescent="0.25">
      <c r="I1686" s="52"/>
      <c r="J1686" s="52"/>
    </row>
    <row r="1687" spans="9:10" x14ac:dyDescent="0.25">
      <c r="I1687" s="52"/>
      <c r="J1687" s="52"/>
    </row>
    <row r="1688" spans="9:10" x14ac:dyDescent="0.25">
      <c r="I1688" s="52"/>
      <c r="J1688" s="52"/>
    </row>
    <row r="1689" spans="9:10" x14ac:dyDescent="0.25">
      <c r="I1689" s="52"/>
      <c r="J1689" s="52"/>
    </row>
    <row r="1690" spans="9:10" x14ac:dyDescent="0.25">
      <c r="I1690" s="52"/>
      <c r="J1690" s="52"/>
    </row>
    <row r="1691" spans="9:10" x14ac:dyDescent="0.25">
      <c r="I1691" s="52"/>
      <c r="J1691" s="52"/>
    </row>
    <row r="1692" spans="9:10" x14ac:dyDescent="0.25">
      <c r="I1692" s="52"/>
      <c r="J1692" s="52"/>
    </row>
    <row r="1693" spans="9:10" x14ac:dyDescent="0.25">
      <c r="I1693" s="52"/>
      <c r="J1693" s="52"/>
    </row>
    <row r="1694" spans="9:10" x14ac:dyDescent="0.25">
      <c r="I1694" s="52"/>
      <c r="J1694" s="52"/>
    </row>
    <row r="1695" spans="9:10" x14ac:dyDescent="0.25">
      <c r="I1695" s="52"/>
      <c r="J1695" s="52"/>
    </row>
    <row r="1696" spans="9:10" x14ac:dyDescent="0.25">
      <c r="I1696" s="52"/>
      <c r="J1696" s="52"/>
    </row>
    <row r="1697" spans="9:10" x14ac:dyDescent="0.25">
      <c r="I1697" s="52"/>
      <c r="J1697" s="52"/>
    </row>
    <row r="1698" spans="9:10" x14ac:dyDescent="0.25">
      <c r="I1698" s="52"/>
      <c r="J1698" s="52"/>
    </row>
    <row r="1699" spans="9:10" x14ac:dyDescent="0.25">
      <c r="I1699" s="52"/>
      <c r="J1699" s="52"/>
    </row>
    <row r="1700" spans="9:10" x14ac:dyDescent="0.25">
      <c r="I1700" s="52"/>
      <c r="J1700" s="52"/>
    </row>
    <row r="1701" spans="9:10" x14ac:dyDescent="0.25">
      <c r="I1701" s="52"/>
      <c r="J1701" s="52"/>
    </row>
    <row r="1702" spans="9:10" x14ac:dyDescent="0.25">
      <c r="I1702" s="52"/>
      <c r="J1702" s="52"/>
    </row>
    <row r="1703" spans="9:10" x14ac:dyDescent="0.25">
      <c r="I1703" s="52"/>
      <c r="J1703" s="52"/>
    </row>
    <row r="1704" spans="9:10" x14ac:dyDescent="0.25">
      <c r="I1704" s="52"/>
      <c r="J1704" s="52"/>
    </row>
    <row r="1705" spans="9:10" x14ac:dyDescent="0.25">
      <c r="I1705" s="52"/>
      <c r="J1705" s="52"/>
    </row>
    <row r="1706" spans="9:10" x14ac:dyDescent="0.25">
      <c r="I1706" s="52"/>
      <c r="J1706" s="52"/>
    </row>
    <row r="1707" spans="9:10" x14ac:dyDescent="0.25">
      <c r="I1707" s="52"/>
      <c r="J1707" s="52"/>
    </row>
    <row r="1708" spans="9:10" x14ac:dyDescent="0.25">
      <c r="I1708" s="52"/>
      <c r="J1708" s="52"/>
    </row>
    <row r="1709" spans="9:10" x14ac:dyDescent="0.25">
      <c r="I1709" s="52"/>
      <c r="J1709" s="52"/>
    </row>
    <row r="1710" spans="9:10" x14ac:dyDescent="0.25">
      <c r="I1710" s="52"/>
      <c r="J1710" s="52"/>
    </row>
    <row r="1711" spans="9:10" x14ac:dyDescent="0.25">
      <c r="I1711" s="52"/>
      <c r="J1711" s="52"/>
    </row>
    <row r="1712" spans="9:10" x14ac:dyDescent="0.25">
      <c r="I1712" s="52"/>
      <c r="J1712" s="52"/>
    </row>
    <row r="1713" spans="9:10" x14ac:dyDescent="0.25">
      <c r="I1713" s="52"/>
      <c r="J1713" s="52"/>
    </row>
    <row r="1714" spans="9:10" x14ac:dyDescent="0.25">
      <c r="I1714" s="52"/>
      <c r="J1714" s="52"/>
    </row>
    <row r="1715" spans="9:10" x14ac:dyDescent="0.25">
      <c r="I1715" s="52"/>
      <c r="J1715" s="52"/>
    </row>
    <row r="1716" spans="9:10" x14ac:dyDescent="0.25">
      <c r="I1716" s="52"/>
      <c r="J1716" s="52"/>
    </row>
    <row r="1717" spans="9:10" x14ac:dyDescent="0.25">
      <c r="I1717" s="52"/>
      <c r="J1717" s="52"/>
    </row>
    <row r="1718" spans="9:10" x14ac:dyDescent="0.25">
      <c r="I1718" s="52"/>
      <c r="J1718" s="52"/>
    </row>
    <row r="1719" spans="9:10" x14ac:dyDescent="0.25">
      <c r="I1719" s="52"/>
      <c r="J1719" s="52"/>
    </row>
    <row r="1720" spans="9:10" x14ac:dyDescent="0.25">
      <c r="I1720" s="52"/>
      <c r="J1720" s="52"/>
    </row>
    <row r="1721" spans="9:10" x14ac:dyDescent="0.25">
      <c r="I1721" s="52"/>
      <c r="J1721" s="52"/>
    </row>
    <row r="1722" spans="9:10" x14ac:dyDescent="0.25">
      <c r="I1722" s="52"/>
      <c r="J1722" s="52"/>
    </row>
    <row r="1723" spans="9:10" x14ac:dyDescent="0.25">
      <c r="I1723" s="52"/>
      <c r="J1723" s="52"/>
    </row>
    <row r="1724" spans="9:10" x14ac:dyDescent="0.25">
      <c r="I1724" s="52"/>
      <c r="J1724" s="52"/>
    </row>
    <row r="1725" spans="9:10" x14ac:dyDescent="0.25">
      <c r="I1725" s="52"/>
      <c r="J1725" s="52"/>
    </row>
    <row r="1726" spans="9:10" x14ac:dyDescent="0.25">
      <c r="I1726" s="52"/>
      <c r="J1726" s="52"/>
    </row>
    <row r="1727" spans="9:10" x14ac:dyDescent="0.25">
      <c r="I1727" s="52"/>
      <c r="J1727" s="52"/>
    </row>
    <row r="1728" spans="9:10" x14ac:dyDescent="0.25">
      <c r="I1728" s="52"/>
      <c r="J1728" s="52"/>
    </row>
    <row r="1729" spans="9:10" x14ac:dyDescent="0.25">
      <c r="I1729" s="52"/>
      <c r="J1729" s="52"/>
    </row>
    <row r="1730" spans="9:10" x14ac:dyDescent="0.25">
      <c r="I1730" s="52"/>
      <c r="J1730" s="52"/>
    </row>
    <row r="1731" spans="9:10" x14ac:dyDescent="0.25">
      <c r="I1731" s="52"/>
      <c r="J1731" s="52"/>
    </row>
    <row r="1732" spans="9:10" x14ac:dyDescent="0.25">
      <c r="I1732" s="52"/>
      <c r="J1732" s="52"/>
    </row>
    <row r="1733" spans="9:10" x14ac:dyDescent="0.25">
      <c r="I1733" s="52"/>
      <c r="J1733" s="52"/>
    </row>
    <row r="1734" spans="9:10" x14ac:dyDescent="0.25">
      <c r="I1734" s="52"/>
      <c r="J1734" s="52"/>
    </row>
    <row r="1735" spans="9:10" x14ac:dyDescent="0.25">
      <c r="I1735" s="52"/>
      <c r="J1735" s="52"/>
    </row>
    <row r="1736" spans="9:10" x14ac:dyDescent="0.25">
      <c r="I1736" s="52"/>
      <c r="J1736" s="52"/>
    </row>
    <row r="1737" spans="9:10" x14ac:dyDescent="0.25">
      <c r="I1737" s="52"/>
      <c r="J1737" s="52"/>
    </row>
    <row r="1738" spans="9:10" x14ac:dyDescent="0.25">
      <c r="I1738" s="52"/>
      <c r="J1738" s="52"/>
    </row>
    <row r="1739" spans="9:10" x14ac:dyDescent="0.25">
      <c r="I1739" s="52"/>
      <c r="J1739" s="52"/>
    </row>
    <row r="1740" spans="9:10" x14ac:dyDescent="0.25">
      <c r="I1740" s="52"/>
      <c r="J1740" s="52"/>
    </row>
    <row r="1741" spans="9:10" x14ac:dyDescent="0.25">
      <c r="I1741" s="52"/>
      <c r="J1741" s="52"/>
    </row>
    <row r="1742" spans="9:10" x14ac:dyDescent="0.25">
      <c r="I1742" s="52"/>
      <c r="J1742" s="52"/>
    </row>
    <row r="1743" spans="9:10" x14ac:dyDescent="0.25">
      <c r="I1743" s="52"/>
      <c r="J1743" s="52"/>
    </row>
    <row r="1744" spans="9:10" x14ac:dyDescent="0.25">
      <c r="I1744" s="52"/>
      <c r="J1744" s="52"/>
    </row>
    <row r="1745" spans="9:10" x14ac:dyDescent="0.25">
      <c r="I1745" s="52"/>
      <c r="J1745" s="52"/>
    </row>
    <row r="1746" spans="9:10" x14ac:dyDescent="0.25">
      <c r="I1746" s="52"/>
      <c r="J1746" s="52"/>
    </row>
    <row r="1747" spans="9:10" x14ac:dyDescent="0.25">
      <c r="I1747" s="52"/>
      <c r="J1747" s="52"/>
    </row>
    <row r="1748" spans="9:10" x14ac:dyDescent="0.25">
      <c r="I1748" s="52"/>
      <c r="J1748" s="52"/>
    </row>
    <row r="1749" spans="9:10" x14ac:dyDescent="0.25">
      <c r="I1749" s="52"/>
      <c r="J1749" s="52"/>
    </row>
    <row r="1750" spans="9:10" x14ac:dyDescent="0.25">
      <c r="I1750" s="52"/>
      <c r="J1750" s="52"/>
    </row>
    <row r="1751" spans="9:10" x14ac:dyDescent="0.25">
      <c r="I1751" s="52"/>
      <c r="J1751" s="52"/>
    </row>
    <row r="1752" spans="9:10" x14ac:dyDescent="0.25">
      <c r="I1752" s="52"/>
      <c r="J1752" s="52"/>
    </row>
    <row r="1753" spans="9:10" x14ac:dyDescent="0.25">
      <c r="I1753" s="52"/>
      <c r="J1753" s="52"/>
    </row>
    <row r="1754" spans="9:10" x14ac:dyDescent="0.25">
      <c r="I1754" s="52"/>
      <c r="J1754" s="52"/>
    </row>
    <row r="1755" spans="9:10" x14ac:dyDescent="0.25">
      <c r="I1755" s="52"/>
      <c r="J1755" s="52"/>
    </row>
    <row r="1756" spans="9:10" x14ac:dyDescent="0.25">
      <c r="I1756" s="52"/>
      <c r="J1756" s="52"/>
    </row>
    <row r="1757" spans="9:10" x14ac:dyDescent="0.25">
      <c r="I1757" s="52"/>
      <c r="J1757" s="52"/>
    </row>
    <row r="1758" spans="9:10" x14ac:dyDescent="0.25">
      <c r="I1758" s="52"/>
      <c r="J1758" s="52"/>
    </row>
    <row r="1759" spans="9:10" x14ac:dyDescent="0.25">
      <c r="I1759" s="52"/>
      <c r="J1759" s="52"/>
    </row>
    <row r="1760" spans="9:10" x14ac:dyDescent="0.25">
      <c r="I1760" s="52"/>
      <c r="J1760" s="52"/>
    </row>
    <row r="1761" spans="9:10" x14ac:dyDescent="0.25">
      <c r="I1761" s="52"/>
      <c r="J1761" s="52"/>
    </row>
    <row r="1762" spans="9:10" x14ac:dyDescent="0.25">
      <c r="I1762" s="52"/>
      <c r="J1762" s="52"/>
    </row>
    <row r="1763" spans="9:10" x14ac:dyDescent="0.25">
      <c r="I1763" s="52"/>
      <c r="J1763" s="52"/>
    </row>
    <row r="1764" spans="9:10" x14ac:dyDescent="0.25">
      <c r="I1764" s="52"/>
      <c r="J1764" s="52"/>
    </row>
    <row r="1765" spans="9:10" x14ac:dyDescent="0.25">
      <c r="I1765" s="52"/>
      <c r="J1765" s="52"/>
    </row>
    <row r="1766" spans="9:10" x14ac:dyDescent="0.25">
      <c r="I1766" s="52"/>
      <c r="J1766" s="52"/>
    </row>
    <row r="1767" spans="9:10" x14ac:dyDescent="0.25">
      <c r="I1767" s="52"/>
      <c r="J1767" s="52"/>
    </row>
    <row r="1768" spans="9:10" x14ac:dyDescent="0.25">
      <c r="I1768" s="52"/>
      <c r="J1768" s="52"/>
    </row>
    <row r="1769" spans="9:10" x14ac:dyDescent="0.25">
      <c r="I1769" s="52"/>
      <c r="J1769" s="52"/>
    </row>
    <row r="1770" spans="9:10" x14ac:dyDescent="0.25">
      <c r="I1770" s="52"/>
      <c r="J1770" s="52"/>
    </row>
    <row r="1771" spans="9:10" x14ac:dyDescent="0.25">
      <c r="I1771" s="52"/>
      <c r="J1771" s="52"/>
    </row>
    <row r="1772" spans="9:10" x14ac:dyDescent="0.25">
      <c r="I1772" s="52"/>
      <c r="J1772" s="52"/>
    </row>
    <row r="1773" spans="9:10" x14ac:dyDescent="0.25">
      <c r="I1773" s="52"/>
      <c r="J1773" s="52"/>
    </row>
    <row r="1774" spans="9:10" x14ac:dyDescent="0.25">
      <c r="I1774" s="52"/>
      <c r="J1774" s="52"/>
    </row>
    <row r="1775" spans="9:10" x14ac:dyDescent="0.25">
      <c r="I1775" s="52"/>
      <c r="J1775" s="52"/>
    </row>
    <row r="1776" spans="9:10" x14ac:dyDescent="0.25">
      <c r="I1776" s="52"/>
      <c r="J1776" s="52"/>
    </row>
    <row r="1777" spans="9:10" x14ac:dyDescent="0.25">
      <c r="I1777" s="52"/>
      <c r="J1777" s="52"/>
    </row>
    <row r="1778" spans="9:10" x14ac:dyDescent="0.25">
      <c r="I1778" s="52"/>
      <c r="J1778" s="52"/>
    </row>
    <row r="1779" spans="9:10" x14ac:dyDescent="0.25">
      <c r="I1779" s="52"/>
      <c r="J1779" s="52"/>
    </row>
    <row r="1780" spans="9:10" x14ac:dyDescent="0.25">
      <c r="I1780" s="52"/>
      <c r="J1780" s="52"/>
    </row>
    <row r="1781" spans="9:10" x14ac:dyDescent="0.25">
      <c r="I1781" s="52"/>
      <c r="J1781" s="52"/>
    </row>
    <row r="1782" spans="9:10" x14ac:dyDescent="0.25">
      <c r="I1782" s="52"/>
      <c r="J1782" s="52"/>
    </row>
    <row r="1783" spans="9:10" x14ac:dyDescent="0.25">
      <c r="I1783" s="52"/>
      <c r="J1783" s="52"/>
    </row>
    <row r="1784" spans="9:10" x14ac:dyDescent="0.25">
      <c r="I1784" s="52"/>
      <c r="J1784" s="52"/>
    </row>
    <row r="1785" spans="9:10" x14ac:dyDescent="0.25">
      <c r="I1785" s="52"/>
      <c r="J1785" s="52"/>
    </row>
    <row r="1786" spans="9:10" x14ac:dyDescent="0.25">
      <c r="I1786" s="52"/>
      <c r="J1786" s="52"/>
    </row>
    <row r="1787" spans="9:10" x14ac:dyDescent="0.25">
      <c r="I1787" s="52"/>
      <c r="J1787" s="52"/>
    </row>
    <row r="1788" spans="9:10" x14ac:dyDescent="0.25">
      <c r="I1788" s="52"/>
      <c r="J1788" s="52"/>
    </row>
    <row r="1789" spans="9:10" x14ac:dyDescent="0.25">
      <c r="I1789" s="52"/>
      <c r="J1789" s="52"/>
    </row>
    <row r="1790" spans="9:10" x14ac:dyDescent="0.25">
      <c r="I1790" s="52"/>
      <c r="J1790" s="52"/>
    </row>
    <row r="1791" spans="9:10" x14ac:dyDescent="0.25">
      <c r="I1791" s="52"/>
      <c r="J1791" s="52"/>
    </row>
    <row r="1792" spans="9:10" x14ac:dyDescent="0.25">
      <c r="I1792" s="52"/>
      <c r="J1792" s="52"/>
    </row>
    <row r="1793" spans="9:10" x14ac:dyDescent="0.25">
      <c r="I1793" s="52"/>
      <c r="J1793" s="52"/>
    </row>
    <row r="1794" spans="9:10" x14ac:dyDescent="0.25">
      <c r="I1794" s="52"/>
      <c r="J1794" s="52"/>
    </row>
    <row r="1795" spans="9:10" x14ac:dyDescent="0.25">
      <c r="I1795" s="52"/>
      <c r="J1795" s="52"/>
    </row>
    <row r="1796" spans="9:10" x14ac:dyDescent="0.25">
      <c r="I1796" s="52"/>
      <c r="J1796" s="52"/>
    </row>
    <row r="1797" spans="9:10" x14ac:dyDescent="0.25">
      <c r="I1797" s="52"/>
      <c r="J1797" s="52"/>
    </row>
    <row r="1798" spans="9:10" x14ac:dyDescent="0.25">
      <c r="I1798" s="52"/>
      <c r="J1798" s="52"/>
    </row>
    <row r="1799" spans="9:10" x14ac:dyDescent="0.25">
      <c r="I1799" s="52"/>
      <c r="J1799" s="52"/>
    </row>
    <row r="1800" spans="9:10" x14ac:dyDescent="0.25">
      <c r="I1800" s="52"/>
      <c r="J1800" s="52"/>
    </row>
    <row r="1801" spans="9:10" x14ac:dyDescent="0.25">
      <c r="I1801" s="52"/>
      <c r="J1801" s="52"/>
    </row>
    <row r="1802" spans="9:10" x14ac:dyDescent="0.25">
      <c r="I1802" s="52"/>
      <c r="J1802" s="52"/>
    </row>
    <row r="1803" spans="9:10" x14ac:dyDescent="0.25">
      <c r="I1803" s="52"/>
      <c r="J1803" s="52"/>
    </row>
    <row r="1804" spans="9:10" x14ac:dyDescent="0.25">
      <c r="I1804" s="52"/>
      <c r="J1804" s="52"/>
    </row>
    <row r="1805" spans="9:10" x14ac:dyDescent="0.25">
      <c r="I1805" s="52"/>
      <c r="J1805" s="52"/>
    </row>
    <row r="1806" spans="9:10" x14ac:dyDescent="0.25">
      <c r="I1806" s="52"/>
      <c r="J1806" s="52"/>
    </row>
    <row r="1807" spans="9:10" x14ac:dyDescent="0.25">
      <c r="I1807" s="52"/>
      <c r="J1807" s="52"/>
    </row>
    <row r="1808" spans="9:10" x14ac:dyDescent="0.25">
      <c r="I1808" s="52"/>
      <c r="J1808" s="52"/>
    </row>
    <row r="1809" spans="9:10" x14ac:dyDescent="0.25">
      <c r="I1809" s="52"/>
      <c r="J1809" s="52"/>
    </row>
    <row r="1810" spans="9:10" x14ac:dyDescent="0.25">
      <c r="I1810" s="52"/>
      <c r="J1810" s="52"/>
    </row>
    <row r="1811" spans="9:10" x14ac:dyDescent="0.25">
      <c r="I1811" s="52"/>
      <c r="J1811" s="52"/>
    </row>
    <row r="1812" spans="9:10" x14ac:dyDescent="0.25">
      <c r="I1812" s="52"/>
      <c r="J1812" s="52"/>
    </row>
    <row r="1813" spans="9:10" x14ac:dyDescent="0.25">
      <c r="I1813" s="52"/>
      <c r="J1813" s="52"/>
    </row>
    <row r="1814" spans="9:10" x14ac:dyDescent="0.25">
      <c r="I1814" s="52"/>
      <c r="J1814" s="52"/>
    </row>
    <row r="1815" spans="9:10" x14ac:dyDescent="0.25">
      <c r="I1815" s="52"/>
      <c r="J1815" s="52"/>
    </row>
    <row r="1816" spans="9:10" x14ac:dyDescent="0.25">
      <c r="I1816" s="52"/>
      <c r="J1816" s="52"/>
    </row>
    <row r="1817" spans="9:10" x14ac:dyDescent="0.25">
      <c r="I1817" s="52"/>
      <c r="J1817" s="52"/>
    </row>
    <row r="1818" spans="9:10" x14ac:dyDescent="0.25">
      <c r="I1818" s="52"/>
      <c r="J1818" s="52"/>
    </row>
    <row r="1819" spans="9:10" x14ac:dyDescent="0.25">
      <c r="I1819" s="52"/>
      <c r="J1819" s="52"/>
    </row>
    <row r="1820" spans="9:10" x14ac:dyDescent="0.25">
      <c r="I1820" s="52"/>
      <c r="J1820" s="52"/>
    </row>
    <row r="1821" spans="9:10" x14ac:dyDescent="0.25">
      <c r="I1821" s="52"/>
      <c r="J1821" s="52"/>
    </row>
    <row r="1822" spans="9:10" x14ac:dyDescent="0.25">
      <c r="I1822" s="52"/>
      <c r="J1822" s="52"/>
    </row>
    <row r="1823" spans="9:10" x14ac:dyDescent="0.25">
      <c r="I1823" s="52"/>
      <c r="J1823" s="52"/>
    </row>
    <row r="1824" spans="9:10" x14ac:dyDescent="0.25">
      <c r="I1824" s="52"/>
      <c r="J1824" s="52"/>
    </row>
    <row r="1825" spans="9:10" x14ac:dyDescent="0.25">
      <c r="I1825" s="52"/>
      <c r="J1825" s="52"/>
    </row>
    <row r="1826" spans="9:10" x14ac:dyDescent="0.25">
      <c r="I1826" s="52"/>
      <c r="J1826" s="52"/>
    </row>
    <row r="1827" spans="9:10" x14ac:dyDescent="0.25">
      <c r="I1827" s="52"/>
      <c r="J1827" s="52"/>
    </row>
    <row r="1828" spans="9:10" x14ac:dyDescent="0.25">
      <c r="I1828" s="52"/>
      <c r="J1828" s="52"/>
    </row>
    <row r="1829" spans="9:10" x14ac:dyDescent="0.25">
      <c r="I1829" s="52"/>
      <c r="J1829" s="52"/>
    </row>
    <row r="1830" spans="9:10" x14ac:dyDescent="0.25">
      <c r="I1830" s="52"/>
      <c r="J1830" s="52"/>
    </row>
    <row r="1831" spans="9:10" x14ac:dyDescent="0.25">
      <c r="I1831" s="52"/>
      <c r="J1831" s="52"/>
    </row>
    <row r="1832" spans="9:10" x14ac:dyDescent="0.25">
      <c r="I1832" s="52"/>
      <c r="J1832" s="52"/>
    </row>
    <row r="1833" spans="9:10" x14ac:dyDescent="0.25">
      <c r="I1833" s="52"/>
      <c r="J1833" s="52"/>
    </row>
    <row r="1834" spans="9:10" x14ac:dyDescent="0.25">
      <c r="I1834" s="52"/>
      <c r="J1834" s="52"/>
    </row>
    <row r="1835" spans="9:10" x14ac:dyDescent="0.25">
      <c r="I1835" s="52"/>
      <c r="J1835" s="52"/>
    </row>
    <row r="1836" spans="9:10" x14ac:dyDescent="0.25">
      <c r="I1836" s="52"/>
      <c r="J1836" s="52"/>
    </row>
    <row r="1837" spans="9:10" x14ac:dyDescent="0.25">
      <c r="I1837" s="52"/>
      <c r="J1837" s="52"/>
    </row>
    <row r="1838" spans="9:10" x14ac:dyDescent="0.25">
      <c r="I1838" s="52"/>
      <c r="J1838" s="52"/>
    </row>
    <row r="1839" spans="9:10" x14ac:dyDescent="0.25">
      <c r="I1839" s="52"/>
      <c r="J1839" s="52"/>
    </row>
    <row r="1840" spans="9:10" x14ac:dyDescent="0.25">
      <c r="I1840" s="52"/>
      <c r="J1840" s="52"/>
    </row>
    <row r="1841" spans="9:10" x14ac:dyDescent="0.25">
      <c r="I1841" s="52"/>
      <c r="J1841" s="52"/>
    </row>
    <row r="1842" spans="9:10" x14ac:dyDescent="0.25">
      <c r="I1842" s="52"/>
      <c r="J1842" s="52"/>
    </row>
    <row r="1843" spans="9:10" x14ac:dyDescent="0.25">
      <c r="I1843" s="52"/>
      <c r="J1843" s="52"/>
    </row>
  </sheetData>
  <pageMargins left="0.7" right="0.7" top="0.75" bottom="0.75" header="0.3" footer="0.3"/>
  <pageSetup scale="52" fitToHeight="100" orientation="landscape" horizontalDpi="4294967293"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64"/>
  <sheetViews>
    <sheetView tabSelected="1" topLeftCell="A24" workbookViewId="0">
      <selection activeCell="E46" sqref="E46"/>
    </sheetView>
  </sheetViews>
  <sheetFormatPr defaultRowHeight="15" x14ac:dyDescent="0.25"/>
  <cols>
    <col min="1" max="1" width="51.140625" style="7" bestFit="1" customWidth="1"/>
    <col min="2" max="2" width="34.85546875" style="7" customWidth="1"/>
    <col min="3" max="3" width="38.42578125" style="7" hidden="1" customWidth="1"/>
    <col min="4" max="4" width="15.7109375" style="7" hidden="1" customWidth="1"/>
    <col min="5" max="5" width="100" style="7" customWidth="1"/>
    <col min="6" max="6" width="73.42578125" style="7" customWidth="1"/>
    <col min="7" max="7" width="51.5703125" style="7" customWidth="1"/>
    <col min="8" max="8" width="21.5703125" style="7" hidden="1" customWidth="1"/>
    <col min="9" max="9" width="21.85546875" style="7" hidden="1" customWidth="1"/>
    <col min="10" max="10" width="22.85546875" style="7" customWidth="1"/>
    <col min="11" max="14" width="9.140625" style="7"/>
    <col min="15" max="15" width="31.7109375" style="7" customWidth="1"/>
    <col min="16" max="16384" width="9.140625" style="7"/>
  </cols>
  <sheetData>
    <row r="1" spans="1:15" x14ac:dyDescent="0.25">
      <c r="A1" s="5" t="s">
        <v>29</v>
      </c>
      <c r="B1" s="5" t="s">
        <v>32</v>
      </c>
      <c r="C1" s="5" t="s">
        <v>33</v>
      </c>
      <c r="D1" s="5" t="s">
        <v>44</v>
      </c>
      <c r="E1" s="5" t="s">
        <v>54</v>
      </c>
      <c r="F1" s="5" t="s">
        <v>49</v>
      </c>
      <c r="G1" s="5" t="s">
        <v>121</v>
      </c>
      <c r="H1" s="6" t="s">
        <v>31</v>
      </c>
      <c r="I1" s="6" t="s">
        <v>34</v>
      </c>
      <c r="J1" s="84" t="s">
        <v>5</v>
      </c>
      <c r="O1" s="5" t="s">
        <v>136</v>
      </c>
    </row>
    <row r="2" spans="1:15" x14ac:dyDescent="0.25">
      <c r="A2" s="8" t="s">
        <v>11</v>
      </c>
      <c r="B2" s="15" t="s">
        <v>7</v>
      </c>
      <c r="C2" s="8" t="str">
        <f t="shared" ref="C2:C33" si="0">MID(H2,2,1)</f>
        <v>F</v>
      </c>
      <c r="D2" s="8">
        <f>MATCH(B2,Receipts!$A$1:$S$1,0)</f>
        <v>6</v>
      </c>
      <c r="E2" s="8"/>
      <c r="F2" s="8"/>
      <c r="G2" s="8"/>
      <c r="H2" s="8" t="str">
        <f t="shared" ref="H2:H36" si="1">ADDRESS(1,D2)</f>
        <v>$F$1</v>
      </c>
      <c r="I2" s="8" t="str">
        <f t="shared" ref="I2:I36" ca="1" si="2">INDIRECT("Receipts!"&amp;H2)</f>
        <v>Receipt No</v>
      </c>
      <c r="J2" s="10" t="s">
        <v>134</v>
      </c>
      <c r="O2" s="83" t="s">
        <v>58</v>
      </c>
    </row>
    <row r="3" spans="1:15" x14ac:dyDescent="0.25">
      <c r="A3" s="8" t="s">
        <v>40</v>
      </c>
      <c r="B3" s="15" t="s">
        <v>9</v>
      </c>
      <c r="C3" s="8" t="str">
        <f t="shared" si="0"/>
        <v>E</v>
      </c>
      <c r="D3" s="8">
        <f>MATCH(B3,Receipts!$A$1:$S$1,0)</f>
        <v>5</v>
      </c>
      <c r="E3" s="8"/>
      <c r="F3" s="8"/>
      <c r="G3" s="8"/>
      <c r="H3" s="8" t="str">
        <f t="shared" si="1"/>
        <v>$E$1</v>
      </c>
      <c r="I3" s="8" t="str">
        <f t="shared" ca="1" si="2"/>
        <v>Date</v>
      </c>
      <c r="O3" s="15" t="s">
        <v>59</v>
      </c>
    </row>
    <row r="4" spans="1:15" x14ac:dyDescent="0.25">
      <c r="A4" s="8" t="s">
        <v>30</v>
      </c>
      <c r="B4" s="15" t="s">
        <v>1</v>
      </c>
      <c r="C4" s="8" t="str">
        <f t="shared" si="0"/>
        <v>C</v>
      </c>
      <c r="D4" s="8">
        <f>MATCH(B4,Receipts!$A$1:$S$1,0)</f>
        <v>3</v>
      </c>
      <c r="E4" s="8"/>
      <c r="F4" s="8"/>
      <c r="G4" s="8"/>
      <c r="H4" s="8" t="str">
        <f t="shared" si="1"/>
        <v>$C$1</v>
      </c>
      <c r="I4" s="8" t="str">
        <f t="shared" ca="1" si="2"/>
        <v>Name</v>
      </c>
      <c r="O4" s="15" t="s">
        <v>62</v>
      </c>
    </row>
    <row r="5" spans="1:15" x14ac:dyDescent="0.25">
      <c r="A5" s="8" t="s">
        <v>16</v>
      </c>
      <c r="B5" s="15" t="s">
        <v>3</v>
      </c>
      <c r="C5" s="8" t="str">
        <f t="shared" si="0"/>
        <v>D</v>
      </c>
      <c r="D5" s="8">
        <f>MATCH(B5,Receipts!$A$1:$S$1,0)</f>
        <v>4</v>
      </c>
      <c r="E5" s="8"/>
      <c r="F5" s="8"/>
      <c r="G5" s="8"/>
      <c r="H5" s="8" t="str">
        <f t="shared" si="1"/>
        <v>$D$1</v>
      </c>
      <c r="I5" s="8" t="str">
        <f t="shared" ca="1" si="2"/>
        <v>Amount</v>
      </c>
      <c r="O5" s="15" t="s">
        <v>24</v>
      </c>
    </row>
    <row r="6" spans="1:15" x14ac:dyDescent="0.25">
      <c r="A6" s="8" t="s">
        <v>12</v>
      </c>
      <c r="B6" s="15" t="s">
        <v>2</v>
      </c>
      <c r="C6" s="8" t="str">
        <f t="shared" si="0"/>
        <v>H</v>
      </c>
      <c r="D6" s="8">
        <f>MATCH(B6,Receipts!$A$1:$S$1,0)</f>
        <v>8</v>
      </c>
      <c r="E6" s="8"/>
      <c r="F6" s="8"/>
      <c r="G6" s="8"/>
      <c r="H6" s="8" t="str">
        <f t="shared" si="1"/>
        <v>$H$1</v>
      </c>
      <c r="I6" s="8" t="str">
        <f t="shared" ca="1" si="2"/>
        <v>Type</v>
      </c>
      <c r="O6" s="15" t="s">
        <v>23</v>
      </c>
    </row>
    <row r="7" spans="1:15" x14ac:dyDescent="0.25">
      <c r="A7" s="8" t="s">
        <v>17</v>
      </c>
      <c r="B7" s="15" t="s">
        <v>109</v>
      </c>
      <c r="C7" s="8" t="str">
        <f t="shared" si="0"/>
        <v>M</v>
      </c>
      <c r="D7" s="8">
        <f>MATCH(B7,Receipts!$A$1:$S$1,0)</f>
        <v>13</v>
      </c>
      <c r="E7" s="8"/>
      <c r="F7" s="8"/>
      <c r="G7" s="8"/>
      <c r="H7" s="8" t="str">
        <f t="shared" si="1"/>
        <v>$M$1</v>
      </c>
      <c r="I7" s="8" t="str">
        <f t="shared" ca="1" si="2"/>
        <v>Remarks/Sold to</v>
      </c>
      <c r="O7" s="15" t="s">
        <v>86</v>
      </c>
    </row>
    <row r="8" spans="1:15" x14ac:dyDescent="0.25">
      <c r="A8" s="8" t="s">
        <v>18</v>
      </c>
      <c r="B8" s="15" t="s">
        <v>106</v>
      </c>
      <c r="C8" s="8" t="str">
        <f t="shared" si="0"/>
        <v>I</v>
      </c>
      <c r="D8" s="8">
        <f>MATCH(B8,Receipts!$A$1:$S$1,0)</f>
        <v>9</v>
      </c>
      <c r="E8" s="8"/>
      <c r="F8" s="8"/>
      <c r="G8" s="8"/>
      <c r="H8" s="8" t="str">
        <f t="shared" si="1"/>
        <v>$I$1</v>
      </c>
      <c r="I8" s="8" t="str">
        <f t="shared" ca="1" si="2"/>
        <v>Bank/ Item Name</v>
      </c>
      <c r="O8" s="15" t="s">
        <v>83</v>
      </c>
    </row>
    <row r="9" spans="1:15" x14ac:dyDescent="0.25">
      <c r="A9" s="8" t="s">
        <v>19</v>
      </c>
      <c r="B9" s="15" t="s">
        <v>107</v>
      </c>
      <c r="C9" s="8" t="str">
        <f t="shared" si="0"/>
        <v>J</v>
      </c>
      <c r="D9" s="8">
        <f>MATCH(B9,Receipts!$A$1:$S$1,0)</f>
        <v>10</v>
      </c>
      <c r="E9" s="8"/>
      <c r="F9" s="8"/>
      <c r="G9" s="8"/>
      <c r="H9" s="8" t="str">
        <f t="shared" si="1"/>
        <v>$J$1</v>
      </c>
      <c r="I9" s="8" t="str">
        <f t="shared" ca="1" si="2"/>
        <v>Check No/Item No</v>
      </c>
      <c r="O9" s="15" t="s">
        <v>82</v>
      </c>
    </row>
    <row r="10" spans="1:15" x14ac:dyDescent="0.25">
      <c r="A10" s="8" t="s">
        <v>35</v>
      </c>
      <c r="B10" s="15" t="s">
        <v>21</v>
      </c>
      <c r="C10" s="8" t="str">
        <f t="shared" si="0"/>
        <v>K</v>
      </c>
      <c r="D10" s="8">
        <f>MATCH(B10,Receipts!$A$1:$S$1,0)</f>
        <v>11</v>
      </c>
      <c r="E10" s="8"/>
      <c r="F10" s="8"/>
      <c r="G10" s="8"/>
      <c r="H10" s="8" t="str">
        <f t="shared" si="1"/>
        <v>$K$1</v>
      </c>
      <c r="I10" s="8" t="str">
        <f t="shared" ca="1" si="2"/>
        <v>Dated</v>
      </c>
      <c r="O10" s="15" t="s">
        <v>60</v>
      </c>
    </row>
    <row r="11" spans="1:15" x14ac:dyDescent="0.25">
      <c r="A11" s="8" t="s">
        <v>20</v>
      </c>
      <c r="B11" s="15" t="s">
        <v>108</v>
      </c>
      <c r="C11" s="8" t="str">
        <f t="shared" si="0"/>
        <v>L</v>
      </c>
      <c r="D11" s="8">
        <f>MATCH(B11,Receipts!$A$1:$S$1,0)</f>
        <v>12</v>
      </c>
      <c r="E11" s="8"/>
      <c r="F11" s="8"/>
      <c r="G11" s="8"/>
      <c r="H11" s="8" t="str">
        <f t="shared" si="1"/>
        <v>$L$1</v>
      </c>
      <c r="I11" s="8" t="str">
        <f t="shared" ca="1" si="2"/>
        <v>Name on Check/Quantity</v>
      </c>
      <c r="O11" s="15" t="s">
        <v>103</v>
      </c>
    </row>
    <row r="12" spans="1:15" x14ac:dyDescent="0.25">
      <c r="A12" s="8" t="s">
        <v>39</v>
      </c>
      <c r="B12" s="15" t="s">
        <v>22</v>
      </c>
      <c r="C12" s="8" t="str">
        <f>MID(H12,2,1)</f>
        <v>G</v>
      </c>
      <c r="D12" s="8">
        <f>MATCH(B12,Receipts!$A$1:$S$1,0)</f>
        <v>7</v>
      </c>
      <c r="E12" s="8"/>
      <c r="F12" s="8"/>
      <c r="G12" s="8"/>
      <c r="H12" s="8" t="str">
        <f t="shared" si="1"/>
        <v>$G$1</v>
      </c>
      <c r="I12" s="8" t="str">
        <f t="shared" ca="1" si="2"/>
        <v>Account</v>
      </c>
      <c r="O12" s="15" t="s">
        <v>104</v>
      </c>
    </row>
    <row r="13" spans="1:15" x14ac:dyDescent="0.25">
      <c r="A13" s="8" t="s">
        <v>41</v>
      </c>
      <c r="B13" s="15" t="s">
        <v>25</v>
      </c>
      <c r="C13" s="8" t="str">
        <f t="shared" si="0"/>
        <v>N</v>
      </c>
      <c r="D13" s="8">
        <f>MATCH(B13,Receipts!$A$1:$S$1,0)</f>
        <v>14</v>
      </c>
      <c r="E13" s="8"/>
      <c r="F13" s="8"/>
      <c r="G13" s="8"/>
      <c r="H13" s="8" t="str">
        <f t="shared" si="1"/>
        <v>$N$1</v>
      </c>
      <c r="I13" s="8" t="str">
        <f t="shared" ca="1" si="2"/>
        <v>Entry Status</v>
      </c>
      <c r="O13" s="15" t="s">
        <v>61</v>
      </c>
    </row>
    <row r="14" spans="1:15" x14ac:dyDescent="0.25">
      <c r="A14" s="8" t="s">
        <v>36</v>
      </c>
      <c r="B14" s="8"/>
      <c r="C14" s="8" t="e">
        <f t="shared" si="0"/>
        <v>#N/A</v>
      </c>
      <c r="D14" s="8" t="e">
        <f>MATCH(B14,Receipts!$A$1:$S$1,0)</f>
        <v>#N/A</v>
      </c>
      <c r="E14" s="15" t="s">
        <v>42</v>
      </c>
      <c r="F14" s="8"/>
      <c r="G14" s="8"/>
      <c r="H14" s="8" t="e">
        <f t="shared" si="1"/>
        <v>#N/A</v>
      </c>
      <c r="I14" s="8" t="e">
        <f t="shared" ca="1" si="2"/>
        <v>#N/A</v>
      </c>
      <c r="O14" s="15" t="s">
        <v>105</v>
      </c>
    </row>
    <row r="15" spans="1:15" x14ac:dyDescent="0.25">
      <c r="A15" s="9" t="s">
        <v>37</v>
      </c>
      <c r="B15" s="9"/>
      <c r="C15" s="9" t="e">
        <f t="shared" si="0"/>
        <v>#N/A</v>
      </c>
      <c r="D15" s="9" t="e">
        <f>MATCH(B15,Receipts!$A$1:$S$1,0)</f>
        <v>#N/A</v>
      </c>
      <c r="E15" s="15" t="s">
        <v>89</v>
      </c>
      <c r="F15" s="9"/>
      <c r="G15" s="9"/>
      <c r="H15" s="9" t="e">
        <f t="shared" si="1"/>
        <v>#N/A</v>
      </c>
      <c r="I15" s="9" t="e">
        <f t="shared" ca="1" si="2"/>
        <v>#N/A</v>
      </c>
      <c r="J15" s="37" t="s">
        <v>138</v>
      </c>
    </row>
    <row r="16" spans="1:15" x14ac:dyDescent="0.25">
      <c r="A16" s="8" t="s">
        <v>28</v>
      </c>
      <c r="B16" s="8"/>
      <c r="C16" s="8" t="e">
        <f t="shared" si="0"/>
        <v>#N/A</v>
      </c>
      <c r="D16" s="8" t="e">
        <f>MATCH(B16,Receipts!$A$1:$S$1,0)</f>
        <v>#N/A</v>
      </c>
      <c r="E16" s="15" t="s">
        <v>75</v>
      </c>
      <c r="F16" s="8"/>
      <c r="G16" s="8"/>
      <c r="H16" s="8" t="e">
        <f t="shared" si="1"/>
        <v>#N/A</v>
      </c>
      <c r="I16" s="8" t="e">
        <f t="shared" ca="1" si="2"/>
        <v>#N/A</v>
      </c>
    </row>
    <row r="17" spans="1:10" x14ac:dyDescent="0.25">
      <c r="A17" s="8" t="s">
        <v>38</v>
      </c>
      <c r="B17" s="8"/>
      <c r="C17" s="8" t="e">
        <f t="shared" si="0"/>
        <v>#N/A</v>
      </c>
      <c r="D17" s="8" t="e">
        <f>MATCH(B17,Receipts!$A$1:$S$1,0)</f>
        <v>#N/A</v>
      </c>
      <c r="E17" s="15" t="s">
        <v>43</v>
      </c>
      <c r="F17" s="8"/>
      <c r="G17" s="8"/>
      <c r="H17" s="8" t="e">
        <f t="shared" si="1"/>
        <v>#N/A</v>
      </c>
      <c r="I17" s="8" t="e">
        <f t="shared" ca="1" si="2"/>
        <v>#N/A</v>
      </c>
    </row>
    <row r="18" spans="1:10" hidden="1" x14ac:dyDescent="0.25">
      <c r="A18" s="36" t="s">
        <v>13</v>
      </c>
      <c r="B18" s="36"/>
      <c r="C18" s="36" t="e">
        <f t="shared" si="0"/>
        <v>#N/A</v>
      </c>
      <c r="D18" s="36" t="e">
        <f>MATCH(B18,Receipts!$A$1:$S$1,0)</f>
        <v>#N/A</v>
      </c>
      <c r="E18" s="36" t="s">
        <v>46</v>
      </c>
      <c r="F18" s="8"/>
      <c r="G18" s="8"/>
      <c r="H18" s="8" t="e">
        <f t="shared" si="1"/>
        <v>#N/A</v>
      </c>
      <c r="I18" s="8" t="e">
        <f t="shared" ca="1" si="2"/>
        <v>#N/A</v>
      </c>
      <c r="J18" s="7" t="s">
        <v>85</v>
      </c>
    </row>
    <row r="19" spans="1:10" hidden="1" x14ac:dyDescent="0.25">
      <c r="A19" s="36" t="s">
        <v>14</v>
      </c>
      <c r="B19" s="36"/>
      <c r="C19" s="36" t="e">
        <f t="shared" si="0"/>
        <v>#N/A</v>
      </c>
      <c r="D19" s="36" t="e">
        <f>MATCH(B19,Receipts!$A$1:$S$1,0)</f>
        <v>#N/A</v>
      </c>
      <c r="E19" s="36" t="s">
        <v>47</v>
      </c>
      <c r="F19" s="8"/>
      <c r="G19" s="8"/>
      <c r="H19" s="8" t="e">
        <f t="shared" si="1"/>
        <v>#N/A</v>
      </c>
      <c r="I19" s="8" t="e">
        <f t="shared" ca="1" si="2"/>
        <v>#N/A</v>
      </c>
      <c r="J19" s="7" t="s">
        <v>85</v>
      </c>
    </row>
    <row r="20" spans="1:10" hidden="1" x14ac:dyDescent="0.25">
      <c r="A20" s="36" t="s">
        <v>15</v>
      </c>
      <c r="B20" s="36"/>
      <c r="C20" s="36" t="e">
        <f t="shared" si="0"/>
        <v>#N/A</v>
      </c>
      <c r="D20" s="36" t="e">
        <f>MATCH(B20,Receipts!$A$1:$S$1,0)</f>
        <v>#N/A</v>
      </c>
      <c r="E20" s="36" t="s">
        <v>48</v>
      </c>
      <c r="F20" s="8"/>
      <c r="G20" s="8"/>
      <c r="H20" s="8" t="e">
        <f t="shared" si="1"/>
        <v>#N/A</v>
      </c>
      <c r="I20" s="8" t="e">
        <f t="shared" ca="1" si="2"/>
        <v>#N/A</v>
      </c>
      <c r="J20" s="7" t="s">
        <v>85</v>
      </c>
    </row>
    <row r="21" spans="1:10" x14ac:dyDescent="0.25">
      <c r="A21" s="9" t="s">
        <v>45</v>
      </c>
      <c r="B21" s="8"/>
      <c r="C21" s="36" t="e">
        <f t="shared" si="0"/>
        <v>#N/A</v>
      </c>
      <c r="D21" s="36" t="e">
        <f>MATCH(B21,Receipts!$A$1:$S$1,0)</f>
        <v>#N/A</v>
      </c>
      <c r="E21" s="15" t="s">
        <v>74</v>
      </c>
      <c r="F21" s="8"/>
      <c r="G21" s="8"/>
      <c r="H21" s="8" t="e">
        <f t="shared" si="1"/>
        <v>#N/A</v>
      </c>
      <c r="I21" s="8" t="e">
        <f t="shared" ca="1" si="2"/>
        <v>#N/A</v>
      </c>
    </row>
    <row r="22" spans="1:10" x14ac:dyDescent="0.25">
      <c r="A22" s="9" t="s">
        <v>50</v>
      </c>
      <c r="B22" s="8"/>
      <c r="C22" s="36" t="e">
        <f t="shared" si="0"/>
        <v>#N/A</v>
      </c>
      <c r="D22" s="36" t="e">
        <f>MATCH(B22,Receipts!$A$1:$S$1,0)</f>
        <v>#N/A</v>
      </c>
      <c r="E22" s="15" t="s">
        <v>119</v>
      </c>
      <c r="F22" s="4" t="s">
        <v>114</v>
      </c>
      <c r="G22" s="4"/>
      <c r="H22" s="8" t="e">
        <f t="shared" si="1"/>
        <v>#N/A</v>
      </c>
      <c r="I22" s="8" t="e">
        <f t="shared" ca="1" si="2"/>
        <v>#N/A</v>
      </c>
    </row>
    <row r="23" spans="1:10" x14ac:dyDescent="0.25">
      <c r="A23" s="9" t="s">
        <v>51</v>
      </c>
      <c r="B23" s="8"/>
      <c r="C23" s="36" t="e">
        <f t="shared" si="0"/>
        <v>#N/A</v>
      </c>
      <c r="D23" s="36" t="e">
        <f>MATCH(B23,Receipts!$A$1:$S$1,0)</f>
        <v>#N/A</v>
      </c>
      <c r="E23" s="15" t="s">
        <v>58</v>
      </c>
      <c r="F23" s="4" t="s">
        <v>115</v>
      </c>
      <c r="G23" s="4"/>
      <c r="H23" s="8" t="e">
        <f t="shared" si="1"/>
        <v>#N/A</v>
      </c>
      <c r="I23" s="8" t="e">
        <f t="shared" ca="1" si="2"/>
        <v>#N/A</v>
      </c>
    </row>
    <row r="24" spans="1:10" x14ac:dyDescent="0.25">
      <c r="A24" s="9" t="s">
        <v>52</v>
      </c>
      <c r="B24" s="8"/>
      <c r="C24" s="36" t="e">
        <f t="shared" si="0"/>
        <v>#N/A</v>
      </c>
      <c r="D24" s="36" t="e">
        <f>MATCH(B24,Receipts!$A$1:$S$1,0)</f>
        <v>#N/A</v>
      </c>
      <c r="E24" s="15" t="s">
        <v>86</v>
      </c>
      <c r="F24" s="4" t="s">
        <v>120</v>
      </c>
      <c r="G24" s="4"/>
      <c r="H24" s="8" t="e">
        <f t="shared" si="1"/>
        <v>#N/A</v>
      </c>
      <c r="I24" s="8" t="e">
        <f t="shared" ca="1" si="2"/>
        <v>#N/A</v>
      </c>
    </row>
    <row r="25" spans="1:10" x14ac:dyDescent="0.25">
      <c r="A25" s="9" t="s">
        <v>53</v>
      </c>
      <c r="B25" s="8"/>
      <c r="C25" s="36" t="e">
        <f t="shared" si="0"/>
        <v>#N/A</v>
      </c>
      <c r="D25" s="36" t="e">
        <f>MATCH(B25,Receipts!$A$1:$S$1,0)</f>
        <v>#N/A</v>
      </c>
      <c r="E25" s="15" t="s">
        <v>83</v>
      </c>
      <c r="F25" s="4" t="s">
        <v>114</v>
      </c>
      <c r="G25" s="4" t="s">
        <v>122</v>
      </c>
      <c r="H25" s="8" t="e">
        <f t="shared" si="1"/>
        <v>#N/A</v>
      </c>
      <c r="I25" s="8" t="e">
        <f t="shared" ca="1" si="2"/>
        <v>#N/A</v>
      </c>
      <c r="J25" s="7" t="s">
        <v>135</v>
      </c>
    </row>
    <row r="26" spans="1:10" x14ac:dyDescent="0.25">
      <c r="A26" s="9" t="s">
        <v>87</v>
      </c>
      <c r="B26" s="8"/>
      <c r="C26" s="36" t="e">
        <f t="shared" si="0"/>
        <v>#N/A</v>
      </c>
      <c r="D26" s="36" t="e">
        <f>MATCH(B26,Receipts!$A$1:$S$1,0)</f>
        <v>#N/A</v>
      </c>
      <c r="E26" s="15"/>
      <c r="F26" s="15"/>
      <c r="G26" s="15"/>
      <c r="H26" s="8" t="e">
        <f t="shared" si="1"/>
        <v>#N/A</v>
      </c>
      <c r="I26" s="8" t="e">
        <f t="shared" ca="1" si="2"/>
        <v>#N/A</v>
      </c>
    </row>
    <row r="27" spans="1:10" x14ac:dyDescent="0.25">
      <c r="A27" s="9" t="s">
        <v>88</v>
      </c>
      <c r="B27" s="8"/>
      <c r="C27" s="36" t="e">
        <f t="shared" si="0"/>
        <v>#N/A</v>
      </c>
      <c r="D27" s="36" t="e">
        <f>MATCH(B27,Receipts!$A$1:$S$1,0)</f>
        <v>#N/A</v>
      </c>
      <c r="E27" s="15"/>
      <c r="F27" s="15"/>
      <c r="G27" s="15"/>
      <c r="H27" s="8" t="e">
        <f t="shared" si="1"/>
        <v>#N/A</v>
      </c>
      <c r="I27" s="8" t="e">
        <f t="shared" ca="1" si="2"/>
        <v>#N/A</v>
      </c>
    </row>
    <row r="28" spans="1:10" x14ac:dyDescent="0.25">
      <c r="A28" s="9" t="s">
        <v>123</v>
      </c>
      <c r="C28" s="36" t="e">
        <f t="shared" si="0"/>
        <v>#N/A</v>
      </c>
      <c r="D28" s="36" t="e">
        <f>MATCH(B28,Receipts!$A$1:$S$1,0)</f>
        <v>#N/A</v>
      </c>
      <c r="E28" s="15"/>
      <c r="F28" s="15"/>
      <c r="G28" s="15"/>
      <c r="H28" s="8" t="e">
        <f t="shared" si="1"/>
        <v>#N/A</v>
      </c>
      <c r="I28" s="8" t="e">
        <f t="shared" ca="1" si="2"/>
        <v>#N/A</v>
      </c>
    </row>
    <row r="29" spans="1:10" x14ac:dyDescent="0.25">
      <c r="A29" s="9" t="s">
        <v>124</v>
      </c>
      <c r="C29" s="36" t="e">
        <f t="shared" si="0"/>
        <v>#N/A</v>
      </c>
      <c r="D29" s="36" t="e">
        <f>MATCH(B29,Receipts!$A$1:$S$1,0)</f>
        <v>#N/A</v>
      </c>
      <c r="E29" s="15"/>
      <c r="F29" s="15"/>
      <c r="G29" s="15"/>
      <c r="H29" s="8" t="e">
        <f t="shared" si="1"/>
        <v>#N/A</v>
      </c>
      <c r="I29" s="8" t="e">
        <f t="shared" ca="1" si="2"/>
        <v>#N/A</v>
      </c>
    </row>
    <row r="30" spans="1:10" x14ac:dyDescent="0.25">
      <c r="A30" s="9" t="s">
        <v>125</v>
      </c>
      <c r="C30" s="36" t="e">
        <f t="shared" si="0"/>
        <v>#N/A</v>
      </c>
      <c r="D30" s="36" t="e">
        <f>MATCH(B30,Receipts!$A$1:$S$1,0)</f>
        <v>#N/A</v>
      </c>
      <c r="E30" s="15"/>
      <c r="F30" s="15"/>
      <c r="G30" s="15"/>
      <c r="H30" s="8" t="e">
        <f t="shared" si="1"/>
        <v>#N/A</v>
      </c>
      <c r="I30" s="8" t="e">
        <f t="shared" ca="1" si="2"/>
        <v>#N/A</v>
      </c>
    </row>
    <row r="31" spans="1:10" x14ac:dyDescent="0.25">
      <c r="A31" s="9" t="s">
        <v>126</v>
      </c>
      <c r="C31" s="36" t="e">
        <f t="shared" si="0"/>
        <v>#N/A</v>
      </c>
      <c r="D31" s="36" t="e">
        <f>MATCH(B31,Receipts!$A$1:$S$1,0)</f>
        <v>#N/A</v>
      </c>
      <c r="E31" s="15"/>
      <c r="F31" s="15"/>
      <c r="G31" s="15"/>
      <c r="H31" s="8" t="e">
        <f t="shared" si="1"/>
        <v>#N/A</v>
      </c>
      <c r="I31" s="8" t="e">
        <f t="shared" ca="1" si="2"/>
        <v>#N/A</v>
      </c>
    </row>
    <row r="32" spans="1:10" x14ac:dyDescent="0.25">
      <c r="A32" s="9" t="s">
        <v>127</v>
      </c>
      <c r="C32" s="36" t="e">
        <f t="shared" si="0"/>
        <v>#N/A</v>
      </c>
      <c r="D32" s="36" t="e">
        <f>MATCH(B32,Receipts!$A$1:$S$1,0)</f>
        <v>#N/A</v>
      </c>
      <c r="E32" s="15"/>
      <c r="F32" s="15"/>
      <c r="G32" s="15"/>
      <c r="H32" s="8" t="e">
        <f t="shared" si="1"/>
        <v>#N/A</v>
      </c>
      <c r="I32" s="8" t="e">
        <f t="shared" ca="1" si="2"/>
        <v>#N/A</v>
      </c>
    </row>
    <row r="33" spans="1:10" x14ac:dyDescent="0.25">
      <c r="A33" s="9" t="s">
        <v>128</v>
      </c>
      <c r="C33" s="36" t="e">
        <f t="shared" si="0"/>
        <v>#N/A</v>
      </c>
      <c r="D33" s="36" t="e">
        <f>MATCH(B33,Receipts!$A$1:$S$1,0)</f>
        <v>#N/A</v>
      </c>
      <c r="E33" s="15"/>
      <c r="F33" s="15"/>
      <c r="G33" s="15"/>
      <c r="H33" s="8" t="e">
        <f t="shared" si="1"/>
        <v>#N/A</v>
      </c>
      <c r="I33" s="8" t="e">
        <f t="shared" ca="1" si="2"/>
        <v>#N/A</v>
      </c>
    </row>
    <row r="34" spans="1:10" x14ac:dyDescent="0.25">
      <c r="A34" s="9" t="s">
        <v>129</v>
      </c>
      <c r="C34" s="36" t="e">
        <f>MID(H34,2,1)</f>
        <v>#N/A</v>
      </c>
      <c r="D34" s="36" t="e">
        <f>MATCH(B34,Receipts!$A$1:$S$1,0)</f>
        <v>#N/A</v>
      </c>
      <c r="E34" s="15"/>
      <c r="F34" s="15"/>
      <c r="G34" s="15"/>
      <c r="H34" s="8" t="e">
        <f t="shared" si="1"/>
        <v>#N/A</v>
      </c>
      <c r="I34" s="8" t="e">
        <f t="shared" ca="1" si="2"/>
        <v>#N/A</v>
      </c>
    </row>
    <row r="35" spans="1:10" x14ac:dyDescent="0.25">
      <c r="A35" s="9" t="s">
        <v>130</v>
      </c>
      <c r="C35" s="36" t="e">
        <f>MID(H35,2,1)</f>
        <v>#N/A</v>
      </c>
      <c r="D35" s="36" t="e">
        <f>MATCH(B35,Receipts!$A$1:$S$1,0)</f>
        <v>#N/A</v>
      </c>
      <c r="E35" s="15"/>
      <c r="F35" s="15"/>
      <c r="G35" s="15"/>
      <c r="H35" s="8" t="e">
        <f t="shared" si="1"/>
        <v>#N/A</v>
      </c>
      <c r="I35" s="8" t="e">
        <f t="shared" ca="1" si="2"/>
        <v>#N/A</v>
      </c>
    </row>
    <row r="36" spans="1:10" x14ac:dyDescent="0.25">
      <c r="A36" s="9" t="s">
        <v>131</v>
      </c>
      <c r="C36" s="36" t="e">
        <f>MID(H36,2,1)</f>
        <v>#N/A</v>
      </c>
      <c r="D36" s="36" t="e">
        <f>MATCH(B36,Receipts!$A$1:$S$1,0)</f>
        <v>#N/A</v>
      </c>
      <c r="E36" s="15"/>
      <c r="F36" s="15"/>
      <c r="G36" s="15"/>
      <c r="H36" s="8" t="e">
        <f t="shared" si="1"/>
        <v>#N/A</v>
      </c>
      <c r="I36" s="8" t="e">
        <f t="shared" ca="1" si="2"/>
        <v>#N/A</v>
      </c>
    </row>
    <row r="37" spans="1:10" x14ac:dyDescent="0.25">
      <c r="A37" s="8" t="s">
        <v>147</v>
      </c>
      <c r="B37" s="8" t="s">
        <v>110</v>
      </c>
      <c r="C37" s="36" t="str">
        <f>MID(H37,2,1)</f>
        <v>O</v>
      </c>
      <c r="D37" s="36">
        <f>MATCH(B37,Receipts!$A$1:$S$1,0)</f>
        <v>15</v>
      </c>
      <c r="E37" s="15"/>
      <c r="F37" s="15"/>
      <c r="G37" s="15"/>
      <c r="H37" s="8" t="str">
        <f>ADDRESS(1,D37)</f>
        <v>$O$1</v>
      </c>
      <c r="I37" s="8" t="str">
        <f ca="1">INDIRECT("Receipts!"&amp;H37)</f>
        <v xml:space="preserve"> Total FMV of Items Purchased</v>
      </c>
    </row>
    <row r="38" spans="1:10" x14ac:dyDescent="0.25">
      <c r="A38" s="8" t="s">
        <v>112</v>
      </c>
      <c r="B38" s="8" t="s">
        <v>111</v>
      </c>
      <c r="C38" s="36" t="str">
        <f>MID(H38,2,1)</f>
        <v>P</v>
      </c>
      <c r="D38" s="36">
        <f>MATCH(B38,Receipts!$A$1:$S$1,0)</f>
        <v>16</v>
      </c>
      <c r="E38" s="15"/>
      <c r="F38" s="15"/>
      <c r="G38" s="15"/>
      <c r="H38" s="8" t="str">
        <f>ADDRESS(1,D38)</f>
        <v>$P$1</v>
      </c>
      <c r="I38" s="8" t="str">
        <f ca="1">INDIRECT("Receipts!"&amp;H38)</f>
        <v>Item Codes Purchased</v>
      </c>
    </row>
    <row r="39" spans="1:10" x14ac:dyDescent="0.25">
      <c r="A39" s="9" t="s">
        <v>132</v>
      </c>
      <c r="B39" s="8"/>
      <c r="C39" s="36"/>
      <c r="D39" s="36"/>
      <c r="E39" s="15" t="s">
        <v>148</v>
      </c>
      <c r="F39" s="15"/>
      <c r="G39" s="15"/>
      <c r="J39" s="15" t="s">
        <v>133</v>
      </c>
    </row>
    <row r="52" spans="1:2" x14ac:dyDescent="0.25">
      <c r="A52" s="7" t="s">
        <v>55</v>
      </c>
    </row>
    <row r="53" spans="1:2" x14ac:dyDescent="0.25">
      <c r="A53" s="7" t="s">
        <v>56</v>
      </c>
    </row>
    <row r="54" spans="1:2" x14ac:dyDescent="0.25">
      <c r="A54" s="7" t="s">
        <v>141</v>
      </c>
      <c r="B54" s="7" t="s">
        <v>143</v>
      </c>
    </row>
    <row r="55" spans="1:2" x14ac:dyDescent="0.25">
      <c r="A55" s="7" t="s">
        <v>142</v>
      </c>
      <c r="B55" s="93" t="s">
        <v>140</v>
      </c>
    </row>
    <row r="56" spans="1:2" x14ac:dyDescent="0.25">
      <c r="A56" s="7" t="s">
        <v>144</v>
      </c>
      <c r="B56" s="93" t="s">
        <v>145</v>
      </c>
    </row>
    <row r="58" spans="1:2" x14ac:dyDescent="0.25">
      <c r="A58" s="10" t="s">
        <v>146</v>
      </c>
    </row>
    <row r="60" spans="1:2" x14ac:dyDescent="0.25">
      <c r="A60" s="10" t="s">
        <v>84</v>
      </c>
    </row>
    <row r="61" spans="1:2" x14ac:dyDescent="0.25">
      <c r="A61" s="7" t="s">
        <v>137</v>
      </c>
    </row>
    <row r="62" spans="1:2" x14ac:dyDescent="0.25">
      <c r="A62" s="7" t="str">
        <f>J15</f>
        <v>This account string in cell E14 will be Prefixed with all the accounts cells F22 to F36</v>
      </c>
    </row>
    <row r="63" spans="1:2" x14ac:dyDescent="0.25">
      <c r="A63" s="7" t="str">
        <f>J25</f>
        <v>If an account is given in column G (rows 22 to 36) against a corresponding Income account in column E , the Income account will be treated as a auction, or sale.  The donation component is the amount paid - the FMV of the item purchased.  This account (the account in column G) has to be available in column E</v>
      </c>
    </row>
    <row r="64" spans="1:2" x14ac:dyDescent="0.25">
      <c r="A64" s="7" t="str">
        <f>J39</f>
        <v>Giving a value "Y" in cell E39 will cause the output QIF to use one split transaction for each line in sheet "Receipts",  instead of multiple transactions</v>
      </c>
    </row>
  </sheetData>
  <hyperlinks>
    <hyperlink ref="B55" r:id="rId1"/>
    <hyperlink ref="B56"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7"/>
  <sheetViews>
    <sheetView zoomScaleNormal="100" workbookViewId="0">
      <selection activeCell="A3" sqref="A3"/>
    </sheetView>
  </sheetViews>
  <sheetFormatPr defaultRowHeight="15" x14ac:dyDescent="0.25"/>
  <cols>
    <col min="1" max="1" width="13.140625" customWidth="1"/>
    <col min="2" max="2" width="16.140625" bestFit="1" customWidth="1"/>
    <col min="3" max="3" width="16.42578125" customWidth="1"/>
    <col min="4" max="14" width="9.140625" customWidth="1"/>
    <col min="16" max="16" width="13.140625" customWidth="1"/>
    <col min="17" max="17" width="16.140625" customWidth="1"/>
    <col min="18" max="18" width="16.42578125" bestFit="1" customWidth="1"/>
  </cols>
  <sheetData>
    <row r="1" spans="1:18" x14ac:dyDescent="0.25">
      <c r="A1" s="44" t="s">
        <v>92</v>
      </c>
      <c r="P1" s="44" t="s">
        <v>117</v>
      </c>
    </row>
    <row r="3" spans="1:18" x14ac:dyDescent="0.25">
      <c r="B3" s="1" t="s">
        <v>57</v>
      </c>
      <c r="Q3" s="1" t="s">
        <v>57</v>
      </c>
    </row>
    <row r="4" spans="1:18" x14ac:dyDescent="0.25">
      <c r="A4" s="1" t="s">
        <v>26</v>
      </c>
      <c r="B4" t="s">
        <v>113</v>
      </c>
      <c r="C4" t="s">
        <v>116</v>
      </c>
      <c r="P4" s="1" t="s">
        <v>26</v>
      </c>
      <c r="Q4" t="s">
        <v>113</v>
      </c>
      <c r="R4" t="s">
        <v>116</v>
      </c>
    </row>
    <row r="5" spans="1:18" x14ac:dyDescent="0.25">
      <c r="A5" s="2" t="s">
        <v>139</v>
      </c>
      <c r="B5" s="3"/>
      <c r="C5" s="3"/>
      <c r="P5" s="2" t="s">
        <v>139</v>
      </c>
      <c r="Q5" s="3"/>
      <c r="R5" s="3"/>
    </row>
    <row r="6" spans="1:18" x14ac:dyDescent="0.25">
      <c r="A6" s="43" t="s">
        <v>139</v>
      </c>
      <c r="B6" s="3"/>
      <c r="C6" s="3"/>
      <c r="P6" s="43" t="s">
        <v>139</v>
      </c>
      <c r="Q6" s="3"/>
      <c r="R6" s="3"/>
    </row>
    <row r="7" spans="1:18" x14ac:dyDescent="0.25">
      <c r="A7" s="2" t="s">
        <v>27</v>
      </c>
      <c r="B7" s="3"/>
      <c r="C7" s="3"/>
      <c r="P7" s="2" t="s">
        <v>27</v>
      </c>
      <c r="Q7" s="3"/>
      <c r="R7" s="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V270"/>
  <sheetViews>
    <sheetView showGridLines="0" workbookViewId="0">
      <pane ySplit="1" topLeftCell="A167" activePane="bottomLeft" state="frozen"/>
      <selection pane="bottomLeft" activeCell="K188" sqref="K188"/>
    </sheetView>
  </sheetViews>
  <sheetFormatPr defaultRowHeight="15" x14ac:dyDescent="0.25"/>
  <cols>
    <col min="2" max="2" width="12" customWidth="1"/>
    <col min="3" max="3" width="16.5703125" customWidth="1"/>
    <col min="4" max="4" width="19" customWidth="1"/>
    <col min="5" max="5" width="8.28515625" customWidth="1"/>
    <col min="6" max="6" width="9.28515625" customWidth="1"/>
    <col min="7" max="7" width="7.42578125" customWidth="1"/>
    <col min="8" max="8" width="17.42578125" customWidth="1"/>
    <col min="9" max="9" width="11.140625" customWidth="1"/>
    <col min="10" max="10" width="10" customWidth="1"/>
    <col min="14" max="14" width="36.140625" customWidth="1"/>
    <col min="15" max="15" width="27.28515625" customWidth="1"/>
    <col min="16" max="16" width="21.42578125" customWidth="1"/>
  </cols>
  <sheetData>
    <row r="1" spans="1:256" ht="38.25" x14ac:dyDescent="0.25">
      <c r="A1" s="38" t="s">
        <v>90</v>
      </c>
      <c r="B1" s="38" t="s">
        <v>91</v>
      </c>
      <c r="C1" s="38" t="s">
        <v>92</v>
      </c>
      <c r="D1" s="38" t="s">
        <v>93</v>
      </c>
      <c r="E1" s="38" t="s">
        <v>94</v>
      </c>
      <c r="F1" s="38" t="s">
        <v>95</v>
      </c>
      <c r="G1" s="38" t="s">
        <v>96</v>
      </c>
      <c r="H1" s="38" t="s">
        <v>97</v>
      </c>
      <c r="I1" s="38" t="s">
        <v>98</v>
      </c>
      <c r="J1" s="38" t="s">
        <v>99</v>
      </c>
      <c r="K1" s="38" t="s">
        <v>7</v>
      </c>
      <c r="L1" s="38" t="s">
        <v>100</v>
      </c>
      <c r="M1" s="39" t="s">
        <v>5</v>
      </c>
      <c r="N1" s="41" t="s">
        <v>101</v>
      </c>
      <c r="O1" s="41" t="s">
        <v>102</v>
      </c>
    </row>
    <row r="2" spans="1:256" x14ac:dyDescent="0.25">
      <c r="A2" s="40"/>
      <c r="B2" s="40"/>
      <c r="C2" s="40"/>
      <c r="D2" s="40"/>
      <c r="E2" s="40"/>
      <c r="F2" s="40"/>
      <c r="G2" s="40"/>
      <c r="H2" s="40"/>
      <c r="I2" s="40"/>
      <c r="J2" s="40"/>
      <c r="K2" s="40"/>
      <c r="L2" s="40"/>
      <c r="M2" s="40"/>
      <c r="N2" t="e">
        <f>VLOOKUP(C2,'Member Details (HOF Only)'!$A$2:$U$219,7,FALSE)</f>
        <v>#N/A</v>
      </c>
      <c r="O2" t="e">
        <f>VLOOKUP(H2,'Member Details (HOF Only)'!$A$2:$U$219,7,FALSE)</f>
        <v>#N/A</v>
      </c>
    </row>
    <row r="3" spans="1:256" x14ac:dyDescent="0.25">
      <c r="A3" s="40"/>
      <c r="B3" s="40"/>
      <c r="C3" s="40"/>
      <c r="D3" s="40"/>
      <c r="E3" s="40"/>
      <c r="F3" s="40"/>
      <c r="G3" s="40"/>
      <c r="H3" s="40"/>
      <c r="I3" s="40"/>
      <c r="J3" s="40"/>
      <c r="K3" s="40"/>
      <c r="L3" s="40"/>
      <c r="M3" s="40"/>
      <c r="N3" t="e">
        <f>VLOOKUP(C3,'Member Details (HOF Only)'!$A$2:$U$219,7,FALSE)</f>
        <v>#N/A</v>
      </c>
      <c r="O3" t="e">
        <f>VLOOKUP(H3,'Member Details (HOF Only)'!$A$2:$U$219,7,FALSE)</f>
        <v>#N/A</v>
      </c>
    </row>
    <row r="4" spans="1:256" x14ac:dyDescent="0.25">
      <c r="A4" s="40"/>
      <c r="B4" s="40"/>
      <c r="C4" s="40"/>
      <c r="D4" s="40"/>
      <c r="E4" s="40"/>
      <c r="F4" s="40"/>
      <c r="G4" s="40"/>
      <c r="H4" s="40"/>
      <c r="I4" s="40"/>
      <c r="J4" s="40"/>
      <c r="K4" s="40"/>
      <c r="L4" s="40"/>
      <c r="M4" s="40"/>
      <c r="N4" t="e">
        <f>VLOOKUP(C4,'Member Details (HOF Only)'!$A$2:$U$219,7,FALSE)</f>
        <v>#N/A</v>
      </c>
      <c r="O4" t="e">
        <f>VLOOKUP(H4,'Member Details (HOF Only)'!$A$2:$U$219,7,FALSE)</f>
        <v>#N/A</v>
      </c>
    </row>
    <row r="5" spans="1:256" x14ac:dyDescent="0.25">
      <c r="A5" s="40"/>
      <c r="B5" s="40"/>
      <c r="C5" s="40"/>
      <c r="D5" s="40"/>
      <c r="E5" s="40"/>
      <c r="F5" s="40"/>
      <c r="G5" s="40"/>
      <c r="H5" s="40"/>
      <c r="I5" s="40"/>
      <c r="J5" s="40"/>
      <c r="K5" s="40"/>
      <c r="L5" s="40"/>
      <c r="M5" s="40"/>
      <c r="N5" t="e">
        <f>VLOOKUP(C5,'Member Details (HOF Only)'!$A$2:$U$219,7,FALSE)</f>
        <v>#N/A</v>
      </c>
      <c r="O5" t="e">
        <f>VLOOKUP(H5,'Member Details (HOF Only)'!$A$2:$U$219,7,FALSE)</f>
        <v>#N/A</v>
      </c>
    </row>
    <row r="6" spans="1:256" x14ac:dyDescent="0.25">
      <c r="A6" s="40"/>
      <c r="B6" s="40"/>
      <c r="C6" s="40"/>
      <c r="D6" s="40"/>
      <c r="E6" s="40"/>
      <c r="F6" s="40"/>
      <c r="G6" s="40"/>
      <c r="H6" s="40"/>
      <c r="I6" s="40"/>
      <c r="J6" s="40"/>
      <c r="K6" s="40"/>
      <c r="L6" s="40"/>
      <c r="M6" s="40"/>
      <c r="N6" t="e">
        <f>VLOOKUP(C6,'Member Details (HOF Only)'!$A$2:$U$219,7,FALSE)</f>
        <v>#N/A</v>
      </c>
      <c r="O6" t="e">
        <f>VLOOKUP(H6,'Member Details (HOF Only)'!$A$2:$U$219,7,FALSE)</f>
        <v>#N/A</v>
      </c>
    </row>
    <row r="7" spans="1:256" x14ac:dyDescent="0.25">
      <c r="A7" s="40"/>
      <c r="B7" s="40"/>
      <c r="C7" s="40"/>
      <c r="D7" s="40"/>
      <c r="E7" s="40"/>
      <c r="F7" s="40"/>
      <c r="G7" s="40"/>
      <c r="H7" s="40"/>
      <c r="I7" s="40"/>
      <c r="J7" s="40"/>
      <c r="K7" s="40"/>
      <c r="L7" s="40"/>
      <c r="M7" s="40"/>
      <c r="N7" t="e">
        <f>VLOOKUP(C7,'Member Details (HOF Only)'!$A$2:$U$219,7,FALSE)</f>
        <v>#N/A</v>
      </c>
      <c r="O7" t="e">
        <f>VLOOKUP(H7,'Member Details (HOF Only)'!$A$2:$U$219,7,FALSE)</f>
        <v>#N/A</v>
      </c>
    </row>
    <row r="8" spans="1:256" x14ac:dyDescent="0.25">
      <c r="A8" s="40"/>
      <c r="B8" s="40"/>
      <c r="C8" s="40"/>
      <c r="D8" s="40"/>
      <c r="E8" s="40"/>
      <c r="F8" s="40"/>
      <c r="G8" s="40"/>
      <c r="H8" s="40"/>
      <c r="I8" s="40"/>
      <c r="J8" s="40"/>
      <c r="K8" s="40"/>
      <c r="L8" s="40"/>
      <c r="M8" s="40"/>
      <c r="N8" t="e">
        <f>VLOOKUP(C8,'Member Details (HOF Only)'!$A$2:$U$219,7,FALSE)</f>
        <v>#N/A</v>
      </c>
      <c r="O8" t="e">
        <f>VLOOKUP(H8,'Member Details (HOF Only)'!$A$2:$U$219,7,FALSE)</f>
        <v>#N/A</v>
      </c>
    </row>
    <row r="9" spans="1:256" x14ac:dyDescent="0.25">
      <c r="A9" s="40"/>
      <c r="B9" s="40"/>
      <c r="C9" s="40"/>
      <c r="D9" s="40"/>
      <c r="E9" s="40"/>
      <c r="F9" s="40"/>
      <c r="G9" s="40"/>
      <c r="H9" s="40"/>
      <c r="I9" s="40"/>
      <c r="J9" s="40"/>
      <c r="K9" s="40"/>
      <c r="L9" s="40"/>
      <c r="M9" s="40"/>
      <c r="N9" t="e">
        <f>VLOOKUP(C9,'Member Details (HOF Only)'!$A$2:$U$219,7,FALSE)</f>
        <v>#N/A</v>
      </c>
      <c r="O9" t="e">
        <f>VLOOKUP(H9,'Member Details (HOF Only)'!$A$2:$U$219,7,FALSE)</f>
        <v>#N/A</v>
      </c>
    </row>
    <row r="10" spans="1:256" x14ac:dyDescent="0.25">
      <c r="A10" s="40"/>
      <c r="B10" s="40"/>
      <c r="C10" s="40"/>
      <c r="D10" s="40"/>
      <c r="E10" s="40"/>
      <c r="F10" s="40"/>
      <c r="G10" s="40"/>
      <c r="H10" s="40"/>
      <c r="I10" s="40"/>
      <c r="J10" s="40"/>
      <c r="K10" s="40"/>
      <c r="L10" s="40"/>
      <c r="M10" s="40"/>
      <c r="N10" t="e">
        <f>VLOOKUP(C10,'Member Details (HOF Only)'!$A$2:$U$219,7,FALSE)</f>
        <v>#N/A</v>
      </c>
      <c r="O10" t="e">
        <f>VLOOKUP(H10,'Member Details (HOF Only)'!$A$2:$U$219,7,FALSE)</f>
        <v>#N/A</v>
      </c>
    </row>
    <row r="11" spans="1:256" x14ac:dyDescent="0.25">
      <c r="A11" s="40"/>
      <c r="B11" s="40"/>
      <c r="C11" s="40"/>
      <c r="D11" s="40"/>
      <c r="E11" s="40"/>
      <c r="F11" s="40"/>
      <c r="G11" s="40"/>
      <c r="H11" s="40"/>
      <c r="I11" s="40"/>
      <c r="J11" s="40"/>
      <c r="K11" s="40"/>
      <c r="L11" s="40"/>
      <c r="M11" s="40"/>
      <c r="N11" t="e">
        <f>VLOOKUP(C11,'Member Details (HOF Only)'!$A$2:$U$219,7,FALSE)</f>
        <v>#N/A</v>
      </c>
      <c r="O11" t="e">
        <f>VLOOKUP(H11,'Member Details (HOF Only)'!$A$2:$U$219,7,FALSE)</f>
        <v>#N/A</v>
      </c>
      <c r="Q11" t="s">
        <v>73</v>
      </c>
      <c r="R11" t="s">
        <v>73</v>
      </c>
      <c r="S11" t="s">
        <v>73</v>
      </c>
      <c r="T11" t="s">
        <v>73</v>
      </c>
      <c r="U11" t="s">
        <v>73</v>
      </c>
      <c r="V11" t="s">
        <v>73</v>
      </c>
      <c r="W11" t="s">
        <v>73</v>
      </c>
      <c r="X11" t="s">
        <v>73</v>
      </c>
      <c r="Y11" t="s">
        <v>73</v>
      </c>
      <c r="Z11" t="s">
        <v>73</v>
      </c>
      <c r="AA11" t="s">
        <v>73</v>
      </c>
      <c r="AB11" t="s">
        <v>73</v>
      </c>
      <c r="AC11" t="s">
        <v>73</v>
      </c>
      <c r="AD11" t="s">
        <v>73</v>
      </c>
      <c r="AE11" t="s">
        <v>73</v>
      </c>
      <c r="AF11" t="s">
        <v>73</v>
      </c>
      <c r="AG11" t="s">
        <v>73</v>
      </c>
      <c r="AH11" t="s">
        <v>73</v>
      </c>
      <c r="AI11" t="s">
        <v>73</v>
      </c>
      <c r="AJ11" t="s">
        <v>73</v>
      </c>
      <c r="AK11" t="s">
        <v>73</v>
      </c>
      <c r="AL11" t="s">
        <v>73</v>
      </c>
      <c r="AM11" t="s">
        <v>73</v>
      </c>
      <c r="AN11" t="s">
        <v>73</v>
      </c>
      <c r="AO11" t="s">
        <v>73</v>
      </c>
      <c r="AP11" t="s">
        <v>73</v>
      </c>
      <c r="AQ11" t="s">
        <v>73</v>
      </c>
      <c r="AR11" t="s">
        <v>73</v>
      </c>
      <c r="AS11" t="s">
        <v>73</v>
      </c>
      <c r="AT11" t="s">
        <v>73</v>
      </c>
      <c r="AU11" t="s">
        <v>73</v>
      </c>
      <c r="AV11" t="s">
        <v>73</v>
      </c>
      <c r="AW11" t="s">
        <v>73</v>
      </c>
      <c r="AX11" t="s">
        <v>73</v>
      </c>
      <c r="AY11" t="s">
        <v>73</v>
      </c>
      <c r="AZ11" t="s">
        <v>73</v>
      </c>
      <c r="BA11" t="s">
        <v>73</v>
      </c>
      <c r="BB11" t="s">
        <v>73</v>
      </c>
      <c r="BC11" t="s">
        <v>73</v>
      </c>
      <c r="BD11" t="s">
        <v>73</v>
      </c>
      <c r="BE11" t="s">
        <v>73</v>
      </c>
      <c r="BF11" t="s">
        <v>73</v>
      </c>
      <c r="BG11" t="s">
        <v>73</v>
      </c>
      <c r="BH11" t="s">
        <v>73</v>
      </c>
      <c r="BI11" t="s">
        <v>73</v>
      </c>
      <c r="BJ11" t="s">
        <v>73</v>
      </c>
      <c r="BK11" t="s">
        <v>73</v>
      </c>
      <c r="BL11" t="s">
        <v>73</v>
      </c>
      <c r="BM11" t="s">
        <v>73</v>
      </c>
      <c r="BN11" t="s">
        <v>73</v>
      </c>
      <c r="BO11" t="s">
        <v>73</v>
      </c>
      <c r="BP11" t="s">
        <v>73</v>
      </c>
      <c r="BQ11" t="s">
        <v>73</v>
      </c>
      <c r="BR11" t="s">
        <v>73</v>
      </c>
      <c r="BS11" t="s">
        <v>73</v>
      </c>
      <c r="BT11" t="s">
        <v>73</v>
      </c>
      <c r="BU11" t="s">
        <v>73</v>
      </c>
      <c r="BV11" t="s">
        <v>73</v>
      </c>
      <c r="BW11" t="s">
        <v>73</v>
      </c>
      <c r="BX11" t="s">
        <v>73</v>
      </c>
      <c r="BY11" t="s">
        <v>73</v>
      </c>
      <c r="BZ11" t="s">
        <v>73</v>
      </c>
      <c r="CA11" t="s">
        <v>73</v>
      </c>
      <c r="CB11" t="s">
        <v>73</v>
      </c>
      <c r="CC11" t="s">
        <v>73</v>
      </c>
      <c r="CD11" t="s">
        <v>73</v>
      </c>
      <c r="CE11" t="s">
        <v>73</v>
      </c>
      <c r="CF11" t="s">
        <v>73</v>
      </c>
      <c r="CG11" t="s">
        <v>73</v>
      </c>
      <c r="CH11" t="s">
        <v>73</v>
      </c>
      <c r="CI11" t="s">
        <v>73</v>
      </c>
      <c r="CJ11" t="s">
        <v>73</v>
      </c>
      <c r="CK11" t="s">
        <v>73</v>
      </c>
      <c r="CL11" t="s">
        <v>73</v>
      </c>
      <c r="CM11" t="s">
        <v>73</v>
      </c>
      <c r="CN11" t="s">
        <v>73</v>
      </c>
      <c r="CO11" t="s">
        <v>73</v>
      </c>
      <c r="CP11" t="s">
        <v>73</v>
      </c>
      <c r="CQ11" t="s">
        <v>73</v>
      </c>
      <c r="CR11" t="s">
        <v>73</v>
      </c>
      <c r="CS11" t="s">
        <v>73</v>
      </c>
      <c r="CT11" t="s">
        <v>73</v>
      </c>
      <c r="CU11" t="s">
        <v>73</v>
      </c>
      <c r="CV11" t="s">
        <v>73</v>
      </c>
      <c r="CW11" t="s">
        <v>73</v>
      </c>
      <c r="CX11" t="s">
        <v>73</v>
      </c>
      <c r="CY11" t="s">
        <v>73</v>
      </c>
      <c r="CZ11" t="s">
        <v>73</v>
      </c>
      <c r="DA11" t="s">
        <v>73</v>
      </c>
      <c r="DB11" t="s">
        <v>73</v>
      </c>
      <c r="DC11" t="s">
        <v>73</v>
      </c>
      <c r="DD11" t="s">
        <v>73</v>
      </c>
      <c r="DE11" t="s">
        <v>73</v>
      </c>
      <c r="DF11" t="s">
        <v>73</v>
      </c>
      <c r="DG11" t="s">
        <v>73</v>
      </c>
      <c r="DH11" t="s">
        <v>73</v>
      </c>
      <c r="DI11" t="s">
        <v>73</v>
      </c>
      <c r="DJ11" t="s">
        <v>73</v>
      </c>
      <c r="DK11" t="s">
        <v>73</v>
      </c>
      <c r="DL11" t="s">
        <v>73</v>
      </c>
      <c r="DM11" t="s">
        <v>73</v>
      </c>
      <c r="DN11" t="s">
        <v>73</v>
      </c>
      <c r="DO11" t="s">
        <v>73</v>
      </c>
      <c r="DP11" t="s">
        <v>73</v>
      </c>
      <c r="DQ11" t="s">
        <v>73</v>
      </c>
      <c r="DR11" t="s">
        <v>73</v>
      </c>
      <c r="DS11" t="s">
        <v>73</v>
      </c>
      <c r="DT11" t="s">
        <v>73</v>
      </c>
      <c r="DU11" t="s">
        <v>73</v>
      </c>
      <c r="DV11" t="s">
        <v>73</v>
      </c>
      <c r="DW11" t="s">
        <v>73</v>
      </c>
      <c r="DX11" t="s">
        <v>73</v>
      </c>
      <c r="DY11" t="s">
        <v>73</v>
      </c>
      <c r="DZ11" t="s">
        <v>73</v>
      </c>
      <c r="EA11" t="s">
        <v>73</v>
      </c>
      <c r="EB11" t="s">
        <v>73</v>
      </c>
      <c r="EC11" t="s">
        <v>73</v>
      </c>
      <c r="ED11" t="s">
        <v>73</v>
      </c>
      <c r="EE11" t="s">
        <v>73</v>
      </c>
      <c r="EF11" t="s">
        <v>73</v>
      </c>
      <c r="EG11" t="s">
        <v>73</v>
      </c>
      <c r="EH11" t="s">
        <v>73</v>
      </c>
      <c r="EI11" t="s">
        <v>73</v>
      </c>
      <c r="EJ11" t="s">
        <v>73</v>
      </c>
      <c r="EK11" t="s">
        <v>73</v>
      </c>
      <c r="EL11" t="s">
        <v>73</v>
      </c>
      <c r="EM11" t="s">
        <v>73</v>
      </c>
      <c r="EN11" t="s">
        <v>73</v>
      </c>
      <c r="EO11" t="s">
        <v>73</v>
      </c>
      <c r="EP11" t="s">
        <v>73</v>
      </c>
      <c r="EQ11" t="s">
        <v>73</v>
      </c>
      <c r="ER11" t="s">
        <v>73</v>
      </c>
      <c r="ES11" t="s">
        <v>73</v>
      </c>
      <c r="ET11" t="s">
        <v>73</v>
      </c>
      <c r="EU11" t="s">
        <v>73</v>
      </c>
      <c r="EV11" t="s">
        <v>73</v>
      </c>
      <c r="EW11" t="s">
        <v>73</v>
      </c>
      <c r="EX11" t="s">
        <v>73</v>
      </c>
      <c r="EY11" t="s">
        <v>73</v>
      </c>
      <c r="EZ11" t="s">
        <v>73</v>
      </c>
      <c r="FA11" t="s">
        <v>73</v>
      </c>
      <c r="FB11" t="s">
        <v>73</v>
      </c>
      <c r="FC11" t="s">
        <v>73</v>
      </c>
      <c r="FD11" t="s">
        <v>73</v>
      </c>
      <c r="FE11" t="s">
        <v>73</v>
      </c>
      <c r="FF11" t="s">
        <v>73</v>
      </c>
      <c r="FG11" t="s">
        <v>73</v>
      </c>
      <c r="FH11" t="s">
        <v>73</v>
      </c>
      <c r="FI11" t="s">
        <v>73</v>
      </c>
      <c r="FJ11" t="s">
        <v>73</v>
      </c>
      <c r="FK11" t="s">
        <v>73</v>
      </c>
      <c r="FL11" t="s">
        <v>73</v>
      </c>
      <c r="FM11" t="s">
        <v>73</v>
      </c>
      <c r="FN11" t="s">
        <v>73</v>
      </c>
      <c r="FO11" t="s">
        <v>73</v>
      </c>
      <c r="FP11" t="s">
        <v>73</v>
      </c>
      <c r="FQ11" t="s">
        <v>73</v>
      </c>
      <c r="FR11" t="s">
        <v>73</v>
      </c>
      <c r="FS11" t="s">
        <v>73</v>
      </c>
      <c r="FT11" t="s">
        <v>73</v>
      </c>
      <c r="FU11" t="s">
        <v>73</v>
      </c>
      <c r="FV11" t="s">
        <v>73</v>
      </c>
      <c r="FW11" t="s">
        <v>73</v>
      </c>
      <c r="FX11" t="s">
        <v>73</v>
      </c>
      <c r="FY11" t="s">
        <v>73</v>
      </c>
      <c r="FZ11" t="s">
        <v>73</v>
      </c>
      <c r="GA11" t="s">
        <v>73</v>
      </c>
      <c r="GB11" t="s">
        <v>73</v>
      </c>
      <c r="GC11" t="s">
        <v>73</v>
      </c>
      <c r="GD11" t="s">
        <v>73</v>
      </c>
      <c r="GE11" t="s">
        <v>73</v>
      </c>
      <c r="GF11" t="s">
        <v>73</v>
      </c>
      <c r="GG11" t="s">
        <v>73</v>
      </c>
      <c r="GH11" t="s">
        <v>73</v>
      </c>
      <c r="GI11" t="s">
        <v>73</v>
      </c>
      <c r="GJ11" t="s">
        <v>73</v>
      </c>
      <c r="GK11" t="s">
        <v>73</v>
      </c>
      <c r="GL11" t="s">
        <v>73</v>
      </c>
      <c r="GM11" t="s">
        <v>73</v>
      </c>
      <c r="GN11" t="s">
        <v>73</v>
      </c>
      <c r="GO11" t="s">
        <v>73</v>
      </c>
      <c r="GP11" t="s">
        <v>73</v>
      </c>
      <c r="GQ11" t="s">
        <v>73</v>
      </c>
      <c r="GR11" t="s">
        <v>73</v>
      </c>
      <c r="GS11" t="s">
        <v>73</v>
      </c>
      <c r="GT11" t="s">
        <v>73</v>
      </c>
      <c r="GU11" t="s">
        <v>73</v>
      </c>
      <c r="GV11" t="s">
        <v>73</v>
      </c>
      <c r="GW11" t="s">
        <v>73</v>
      </c>
      <c r="GX11" t="s">
        <v>73</v>
      </c>
      <c r="GY11" t="s">
        <v>73</v>
      </c>
      <c r="GZ11" t="s">
        <v>73</v>
      </c>
      <c r="HA11" t="s">
        <v>73</v>
      </c>
      <c r="HB11" t="s">
        <v>73</v>
      </c>
      <c r="HC11" t="s">
        <v>73</v>
      </c>
      <c r="HD11" t="s">
        <v>73</v>
      </c>
      <c r="HE11" t="s">
        <v>73</v>
      </c>
      <c r="HF11" t="s">
        <v>73</v>
      </c>
      <c r="HG11" t="s">
        <v>73</v>
      </c>
      <c r="HH11" t="s">
        <v>73</v>
      </c>
      <c r="HI11" t="s">
        <v>73</v>
      </c>
      <c r="HJ11" t="s">
        <v>73</v>
      </c>
      <c r="HK11" t="s">
        <v>73</v>
      </c>
      <c r="HL11" t="s">
        <v>73</v>
      </c>
      <c r="HM11" t="s">
        <v>73</v>
      </c>
      <c r="HN11" t="s">
        <v>73</v>
      </c>
      <c r="HO11" t="s">
        <v>73</v>
      </c>
      <c r="HP11" t="s">
        <v>73</v>
      </c>
      <c r="HQ11" t="s">
        <v>73</v>
      </c>
      <c r="HR11" t="s">
        <v>73</v>
      </c>
      <c r="HS11" t="s">
        <v>73</v>
      </c>
      <c r="HT11" t="s">
        <v>73</v>
      </c>
      <c r="HU11" t="s">
        <v>73</v>
      </c>
      <c r="HV11" t="s">
        <v>73</v>
      </c>
      <c r="HW11" t="s">
        <v>73</v>
      </c>
      <c r="HX11" t="s">
        <v>73</v>
      </c>
      <c r="HY11" t="s">
        <v>73</v>
      </c>
      <c r="HZ11" t="s">
        <v>73</v>
      </c>
      <c r="IA11" t="s">
        <v>73</v>
      </c>
      <c r="IB11" t="s">
        <v>73</v>
      </c>
      <c r="IC11" t="s">
        <v>73</v>
      </c>
      <c r="ID11" t="s">
        <v>73</v>
      </c>
      <c r="IE11" t="s">
        <v>73</v>
      </c>
      <c r="IF11" t="s">
        <v>73</v>
      </c>
      <c r="IG11" t="s">
        <v>73</v>
      </c>
      <c r="IH11" t="s">
        <v>73</v>
      </c>
      <c r="II11" t="s">
        <v>73</v>
      </c>
      <c r="IJ11" t="s">
        <v>73</v>
      </c>
      <c r="IK11" t="s">
        <v>73</v>
      </c>
      <c r="IL11" t="s">
        <v>73</v>
      </c>
      <c r="IM11" t="s">
        <v>73</v>
      </c>
      <c r="IN11" t="s">
        <v>73</v>
      </c>
      <c r="IO11" t="s">
        <v>73</v>
      </c>
      <c r="IP11" t="s">
        <v>73</v>
      </c>
      <c r="IQ11" t="s">
        <v>73</v>
      </c>
      <c r="IR11" t="s">
        <v>73</v>
      </c>
      <c r="IS11" t="s">
        <v>73</v>
      </c>
      <c r="IT11" t="s">
        <v>73</v>
      </c>
      <c r="IU11" t="s">
        <v>73</v>
      </c>
      <c r="IV11" t="s">
        <v>73</v>
      </c>
    </row>
    <row r="12" spans="1:256" x14ac:dyDescent="0.25">
      <c r="A12" s="40"/>
      <c r="B12" s="40"/>
      <c r="C12" s="40"/>
      <c r="D12" s="40"/>
      <c r="E12" s="40"/>
      <c r="F12" s="40"/>
      <c r="G12" s="40"/>
      <c r="H12" s="40"/>
      <c r="I12" s="40"/>
      <c r="J12" s="40"/>
      <c r="K12" s="40"/>
      <c r="L12" s="40"/>
      <c r="M12" s="40"/>
      <c r="N12" t="e">
        <f>VLOOKUP(C12,'Member Details (HOF Only)'!$A$2:$U$219,7,FALSE)</f>
        <v>#N/A</v>
      </c>
      <c r="O12" t="e">
        <f>VLOOKUP(H12,'Member Details (HOF Only)'!$A$2:$U$219,7,FALSE)</f>
        <v>#N/A</v>
      </c>
    </row>
    <row r="13" spans="1:256" x14ac:dyDescent="0.25">
      <c r="A13" s="40"/>
      <c r="B13" s="40"/>
      <c r="C13" s="40"/>
      <c r="D13" s="40"/>
      <c r="E13" s="40"/>
      <c r="F13" s="40"/>
      <c r="G13" s="40"/>
      <c r="H13" s="40"/>
      <c r="I13" s="40"/>
      <c r="J13" s="40"/>
      <c r="K13" s="40"/>
      <c r="L13" s="40"/>
      <c r="M13" s="40"/>
      <c r="N13" t="e">
        <f>VLOOKUP(C13,'Member Details (HOF Only)'!$A$2:$U$219,7,FALSE)</f>
        <v>#N/A</v>
      </c>
      <c r="O13" t="e">
        <f>VLOOKUP(H13,'Member Details (HOF Only)'!$A$2:$U$219,7,FALSE)</f>
        <v>#N/A</v>
      </c>
    </row>
    <row r="14" spans="1:256" x14ac:dyDescent="0.25">
      <c r="A14" s="40"/>
      <c r="B14" s="40"/>
      <c r="C14" s="40"/>
      <c r="D14" s="40"/>
      <c r="E14" s="40"/>
      <c r="F14" s="40"/>
      <c r="G14" s="40"/>
      <c r="H14" s="40"/>
      <c r="I14" s="40"/>
      <c r="J14" s="40"/>
      <c r="K14" s="40"/>
      <c r="L14" s="40"/>
      <c r="M14" s="40"/>
      <c r="N14" t="e">
        <f>VLOOKUP(C14,'Member Details (HOF Only)'!$A$2:$U$219,7,FALSE)</f>
        <v>#N/A</v>
      </c>
      <c r="O14" t="e">
        <f>VLOOKUP(H14,'Member Details (HOF Only)'!$A$2:$U$219,7,FALSE)</f>
        <v>#N/A</v>
      </c>
    </row>
    <row r="15" spans="1:256" x14ac:dyDescent="0.25">
      <c r="A15" s="40"/>
      <c r="B15" s="40"/>
      <c r="C15" s="40"/>
      <c r="D15" s="40"/>
      <c r="E15" s="40"/>
      <c r="F15" s="40"/>
      <c r="G15" s="40"/>
      <c r="H15" s="40"/>
      <c r="I15" s="40"/>
      <c r="J15" s="40"/>
      <c r="K15" s="40"/>
      <c r="L15" s="40"/>
      <c r="M15" s="40"/>
      <c r="N15" t="e">
        <f>VLOOKUP(C15,'Member Details (HOF Only)'!$A$2:$U$219,7,FALSE)</f>
        <v>#N/A</v>
      </c>
      <c r="O15" t="e">
        <f>VLOOKUP(H15,'Member Details (HOF Only)'!$A$2:$U$219,7,FALSE)</f>
        <v>#N/A</v>
      </c>
    </row>
    <row r="16" spans="1:256" x14ac:dyDescent="0.25">
      <c r="A16" s="40"/>
      <c r="B16" s="40"/>
      <c r="C16" s="40"/>
      <c r="D16" s="40"/>
      <c r="E16" s="40"/>
      <c r="F16" s="40"/>
      <c r="G16" s="40"/>
      <c r="H16" s="40"/>
      <c r="I16" s="40"/>
      <c r="J16" s="40"/>
      <c r="K16" s="40"/>
      <c r="L16" s="40"/>
      <c r="M16" s="40"/>
      <c r="N16" t="e">
        <f>VLOOKUP(C16,'Member Details (HOF Only)'!$A$2:$U$219,7,FALSE)</f>
        <v>#N/A</v>
      </c>
      <c r="O16" t="e">
        <f>VLOOKUP(H16,'Member Details (HOF Only)'!$A$2:$U$219,7,FALSE)</f>
        <v>#N/A</v>
      </c>
    </row>
    <row r="17" spans="1:15" x14ac:dyDescent="0.25">
      <c r="A17" s="40"/>
      <c r="B17" s="40"/>
      <c r="C17" s="40"/>
      <c r="D17" s="40"/>
      <c r="E17" s="40"/>
      <c r="F17" s="40"/>
      <c r="G17" s="40"/>
      <c r="H17" s="40"/>
      <c r="I17" s="40"/>
      <c r="J17" s="40"/>
      <c r="K17" s="40"/>
      <c r="L17" s="40"/>
      <c r="M17" s="40"/>
      <c r="N17" t="e">
        <f>VLOOKUP(C17,'Member Details (HOF Only)'!$A$2:$U$219,7,FALSE)</f>
        <v>#N/A</v>
      </c>
      <c r="O17" t="e">
        <f>VLOOKUP(H17,'Member Details (HOF Only)'!$A$2:$U$219,7,FALSE)</f>
        <v>#N/A</v>
      </c>
    </row>
    <row r="18" spans="1:15" x14ac:dyDescent="0.25">
      <c r="A18" s="40"/>
      <c r="B18" s="40"/>
      <c r="C18" s="40"/>
      <c r="D18" s="40"/>
      <c r="E18" s="40"/>
      <c r="F18" s="40"/>
      <c r="G18" s="40"/>
      <c r="H18" s="40"/>
      <c r="I18" s="40"/>
      <c r="J18" s="40"/>
      <c r="K18" s="40"/>
      <c r="L18" s="40"/>
      <c r="M18" s="40"/>
      <c r="N18" t="e">
        <f>VLOOKUP(C18,'Member Details (HOF Only)'!$A$2:$U$219,7,FALSE)</f>
        <v>#N/A</v>
      </c>
      <c r="O18" t="e">
        <f>VLOOKUP(H18,'Member Details (HOF Only)'!$A$2:$U$219,7,FALSE)</f>
        <v>#N/A</v>
      </c>
    </row>
    <row r="19" spans="1:15" x14ac:dyDescent="0.25">
      <c r="A19" s="40"/>
      <c r="B19" s="40"/>
      <c r="C19" s="40"/>
      <c r="D19" s="40"/>
      <c r="E19" s="40"/>
      <c r="F19" s="40"/>
      <c r="G19" s="40"/>
      <c r="H19" s="40"/>
      <c r="I19" s="40"/>
      <c r="J19" s="40"/>
      <c r="K19" s="40"/>
      <c r="L19" s="40"/>
      <c r="M19" s="40"/>
      <c r="N19" t="e">
        <f>VLOOKUP(C19,'Member Details (HOF Only)'!$A$2:$U$219,7,FALSE)</f>
        <v>#N/A</v>
      </c>
      <c r="O19" t="e">
        <f>VLOOKUP(H19,'Member Details (HOF Only)'!$A$2:$U$219,7,FALSE)</f>
        <v>#N/A</v>
      </c>
    </row>
    <row r="20" spans="1:15" x14ac:dyDescent="0.25">
      <c r="A20" s="40"/>
      <c r="B20" s="40"/>
      <c r="C20" s="40"/>
      <c r="D20" s="40"/>
      <c r="E20" s="40"/>
      <c r="F20" s="40"/>
      <c r="G20" s="40"/>
      <c r="H20" s="40"/>
      <c r="I20" s="40"/>
      <c r="J20" s="40"/>
      <c r="K20" s="40"/>
      <c r="L20" s="40"/>
      <c r="M20" s="40"/>
      <c r="N20" t="e">
        <f>VLOOKUP(C20,'Member Details (HOF Only)'!$A$2:$U$219,7,FALSE)</f>
        <v>#N/A</v>
      </c>
      <c r="O20" t="e">
        <f>VLOOKUP(H20,'Member Details (HOF Only)'!$A$2:$U$219,7,FALSE)</f>
        <v>#N/A</v>
      </c>
    </row>
    <row r="21" spans="1:15" x14ac:dyDescent="0.25">
      <c r="A21" s="40"/>
      <c r="B21" s="40"/>
      <c r="C21" s="40"/>
      <c r="D21" s="40"/>
      <c r="E21" s="40"/>
      <c r="F21" s="40"/>
      <c r="G21" s="40"/>
      <c r="H21" s="40"/>
      <c r="I21" s="40"/>
      <c r="J21" s="40"/>
      <c r="K21" s="40"/>
      <c r="L21" s="40"/>
      <c r="M21" s="40"/>
      <c r="N21" t="e">
        <f>VLOOKUP(C21,'Member Details (HOF Only)'!$A$2:$U$219,7,FALSE)</f>
        <v>#N/A</v>
      </c>
      <c r="O21" t="e">
        <f>VLOOKUP(H21,'Member Details (HOF Only)'!$A$2:$U$219,7,FALSE)</f>
        <v>#N/A</v>
      </c>
    </row>
    <row r="22" spans="1:15" x14ac:dyDescent="0.25">
      <c r="A22" s="40"/>
      <c r="B22" s="40"/>
      <c r="C22" s="40"/>
      <c r="D22" s="40"/>
      <c r="E22" s="40"/>
      <c r="F22" s="40"/>
      <c r="G22" s="40"/>
      <c r="H22" s="40"/>
      <c r="I22" s="40"/>
      <c r="J22" s="40"/>
      <c r="K22" s="40"/>
      <c r="L22" s="40"/>
      <c r="M22" s="40"/>
      <c r="N22" t="e">
        <f>VLOOKUP(C22,'Member Details (HOF Only)'!$A$2:$U$219,7,FALSE)</f>
        <v>#N/A</v>
      </c>
      <c r="O22" t="e">
        <f>VLOOKUP(H22,'Member Details (HOF Only)'!$A$2:$U$219,7,FALSE)</f>
        <v>#N/A</v>
      </c>
    </row>
    <row r="23" spans="1:15" x14ac:dyDescent="0.25">
      <c r="A23" s="40"/>
      <c r="B23" s="40"/>
      <c r="C23" s="40"/>
      <c r="D23" s="40"/>
      <c r="E23" s="40"/>
      <c r="F23" s="40"/>
      <c r="G23" s="40"/>
      <c r="H23" s="40"/>
      <c r="I23" s="40"/>
      <c r="J23" s="40"/>
      <c r="K23" s="40"/>
      <c r="L23" s="40"/>
      <c r="M23" s="40"/>
      <c r="N23" t="e">
        <f>VLOOKUP(C23,'Member Details (HOF Only)'!$A$2:$U$219,7,FALSE)</f>
        <v>#N/A</v>
      </c>
      <c r="O23" t="e">
        <f>VLOOKUP(H23,'Member Details (HOF Only)'!$A$2:$U$219,7,FALSE)</f>
        <v>#N/A</v>
      </c>
    </row>
    <row r="24" spans="1:15" x14ac:dyDescent="0.25">
      <c r="A24" s="40"/>
      <c r="B24" s="40"/>
      <c r="C24" s="40"/>
      <c r="D24" s="40"/>
      <c r="E24" s="40"/>
      <c r="F24" s="40"/>
      <c r="G24" s="40"/>
      <c r="H24" s="40"/>
      <c r="I24" s="40"/>
      <c r="J24" s="40"/>
      <c r="K24" s="40"/>
      <c r="L24" s="40"/>
      <c r="M24" s="40"/>
      <c r="N24" t="e">
        <f>VLOOKUP(C24,'Member Details (HOF Only)'!$A$2:$U$219,7,FALSE)</f>
        <v>#N/A</v>
      </c>
      <c r="O24" t="e">
        <f>VLOOKUP(H24,'Member Details (HOF Only)'!$A$2:$U$219,7,FALSE)</f>
        <v>#N/A</v>
      </c>
    </row>
    <row r="25" spans="1:15" x14ac:dyDescent="0.25">
      <c r="A25" s="40"/>
      <c r="B25" s="40"/>
      <c r="C25" s="40"/>
      <c r="D25" s="40"/>
      <c r="E25" s="40"/>
      <c r="F25" s="40"/>
      <c r="G25" s="40"/>
      <c r="H25" s="40"/>
      <c r="I25" s="40"/>
      <c r="J25" s="40"/>
      <c r="K25" s="40"/>
      <c r="L25" s="40"/>
      <c r="M25" s="40"/>
      <c r="N25" t="e">
        <f>VLOOKUP(C25,'Member Details (HOF Only)'!$A$2:$U$219,7,FALSE)</f>
        <v>#N/A</v>
      </c>
      <c r="O25" t="e">
        <f>VLOOKUP(H25,'Member Details (HOF Only)'!$A$2:$U$219,7,FALSE)</f>
        <v>#N/A</v>
      </c>
    </row>
    <row r="26" spans="1:15" x14ac:dyDescent="0.25">
      <c r="A26" s="40"/>
      <c r="B26" s="40"/>
      <c r="C26" s="40"/>
      <c r="D26" s="40"/>
      <c r="E26" s="40"/>
      <c r="F26" s="40"/>
      <c r="G26" s="40"/>
      <c r="H26" s="40"/>
      <c r="I26" s="40"/>
      <c r="J26" s="40"/>
      <c r="K26" s="40"/>
      <c r="L26" s="40"/>
      <c r="M26" s="40"/>
      <c r="N26" t="e">
        <f>VLOOKUP(C26,'Member Details (HOF Only)'!$A$2:$U$219,7,FALSE)</f>
        <v>#N/A</v>
      </c>
      <c r="O26" t="e">
        <f>VLOOKUP(H26,'Member Details (HOF Only)'!$A$2:$U$219,7,FALSE)</f>
        <v>#N/A</v>
      </c>
    </row>
    <row r="27" spans="1:15" x14ac:dyDescent="0.25">
      <c r="A27" s="40"/>
      <c r="B27" s="40"/>
      <c r="C27" s="40"/>
      <c r="D27" s="40"/>
      <c r="E27" s="40"/>
      <c r="F27" s="40"/>
      <c r="G27" s="40"/>
      <c r="H27" s="40"/>
      <c r="I27" s="40"/>
      <c r="J27" s="40"/>
      <c r="K27" s="40"/>
      <c r="L27" s="40"/>
      <c r="M27" s="40"/>
      <c r="N27" t="e">
        <f>VLOOKUP(C27,'Member Details (HOF Only)'!$A$2:$U$219,7,FALSE)</f>
        <v>#N/A</v>
      </c>
      <c r="O27" t="e">
        <f>VLOOKUP(H27,'Member Details (HOF Only)'!$A$2:$U$219,7,FALSE)</f>
        <v>#N/A</v>
      </c>
    </row>
    <row r="28" spans="1:15" x14ac:dyDescent="0.25">
      <c r="A28" s="40"/>
      <c r="B28" s="40"/>
      <c r="C28" s="40"/>
      <c r="D28" s="40"/>
      <c r="E28" s="40"/>
      <c r="F28" s="40"/>
      <c r="G28" s="40"/>
      <c r="H28" s="40"/>
      <c r="I28" s="40"/>
      <c r="J28" s="40"/>
      <c r="K28" s="40"/>
      <c r="L28" s="40"/>
      <c r="M28" s="40"/>
      <c r="N28" t="e">
        <f>VLOOKUP(C28,'Member Details (HOF Only)'!$A$2:$U$219,7,FALSE)</f>
        <v>#N/A</v>
      </c>
      <c r="O28" t="e">
        <f>VLOOKUP(H28,'Member Details (HOF Only)'!$A$2:$U$219,7,FALSE)</f>
        <v>#N/A</v>
      </c>
    </row>
    <row r="29" spans="1:15" x14ac:dyDescent="0.25">
      <c r="A29" s="40"/>
      <c r="B29" s="40"/>
      <c r="C29" s="40"/>
      <c r="D29" s="40"/>
      <c r="E29" s="40"/>
      <c r="F29" s="40"/>
      <c r="G29" s="40"/>
      <c r="H29" s="40"/>
      <c r="I29" s="40"/>
      <c r="J29" s="40"/>
      <c r="K29" s="40"/>
      <c r="L29" s="40"/>
      <c r="M29" s="40"/>
      <c r="N29" t="e">
        <f>VLOOKUP(C29,'Member Details (HOF Only)'!$A$2:$U$219,7,FALSE)</f>
        <v>#N/A</v>
      </c>
      <c r="O29" t="e">
        <f>VLOOKUP(H29,'Member Details (HOF Only)'!$A$2:$U$219,7,FALSE)</f>
        <v>#N/A</v>
      </c>
    </row>
    <row r="30" spans="1:15" x14ac:dyDescent="0.25">
      <c r="A30" s="40"/>
      <c r="B30" s="40"/>
      <c r="C30" s="40"/>
      <c r="D30" s="40"/>
      <c r="E30" s="40"/>
      <c r="F30" s="40"/>
      <c r="G30" s="40"/>
      <c r="H30" s="40"/>
      <c r="I30" s="40"/>
      <c r="J30" s="40"/>
      <c r="K30" s="40"/>
      <c r="L30" s="40"/>
      <c r="M30" s="40"/>
      <c r="N30" t="e">
        <f>VLOOKUP(C30,'Member Details (HOF Only)'!$A$2:$U$219,7,FALSE)</f>
        <v>#N/A</v>
      </c>
      <c r="O30" t="e">
        <f>VLOOKUP(H30,'Member Details (HOF Only)'!$A$2:$U$219,7,FALSE)</f>
        <v>#N/A</v>
      </c>
    </row>
    <row r="31" spans="1:15" x14ac:dyDescent="0.25">
      <c r="A31" s="40"/>
      <c r="B31" s="40"/>
      <c r="C31" s="40"/>
      <c r="D31" s="40"/>
      <c r="E31" s="40"/>
      <c r="F31" s="40"/>
      <c r="G31" s="40"/>
      <c r="H31" s="42"/>
      <c r="I31" s="40"/>
      <c r="J31" s="40"/>
      <c r="K31" s="40"/>
      <c r="L31" s="40"/>
      <c r="M31" s="40"/>
      <c r="N31" t="e">
        <f>VLOOKUP(C31,'Member Details (HOF Only)'!$A$2:$U$219,7,FALSE)</f>
        <v>#N/A</v>
      </c>
      <c r="O31" t="e">
        <f>VLOOKUP(H31,'Member Details (HOF Only)'!$A$2:$U$219,7,FALSE)</f>
        <v>#N/A</v>
      </c>
    </row>
    <row r="32" spans="1:15" x14ac:dyDescent="0.25">
      <c r="A32" s="40"/>
      <c r="B32" s="40"/>
      <c r="C32" s="40"/>
      <c r="D32" s="40"/>
      <c r="E32" s="40"/>
      <c r="F32" s="40"/>
      <c r="G32" s="40"/>
      <c r="H32" s="40"/>
      <c r="I32" s="40"/>
      <c r="J32" s="40"/>
      <c r="K32" s="40"/>
      <c r="L32" s="40"/>
      <c r="M32" s="40"/>
      <c r="N32" t="e">
        <f>VLOOKUP(C32,'Member Details (HOF Only)'!$A$2:$U$219,7,FALSE)</f>
        <v>#N/A</v>
      </c>
      <c r="O32" t="e">
        <f>VLOOKUP(H32,'Member Details (HOF Only)'!$A$2:$U$219,7,FALSE)</f>
        <v>#N/A</v>
      </c>
    </row>
    <row r="33" spans="1:15" x14ac:dyDescent="0.25">
      <c r="A33" s="40"/>
      <c r="B33" s="40"/>
      <c r="C33" s="40"/>
      <c r="D33" s="40"/>
      <c r="E33" s="40"/>
      <c r="F33" s="40"/>
      <c r="G33" s="40"/>
      <c r="H33" s="40"/>
      <c r="I33" s="40"/>
      <c r="J33" s="40"/>
      <c r="K33" s="40"/>
      <c r="L33" s="40"/>
      <c r="M33" s="40"/>
      <c r="N33" t="e">
        <f>VLOOKUP(C33,'Member Details (HOF Only)'!$A$2:$U$219,7,FALSE)</f>
        <v>#N/A</v>
      </c>
      <c r="O33" t="e">
        <f>VLOOKUP(H33,'Member Details (HOF Only)'!$A$2:$U$219,7,FALSE)</f>
        <v>#N/A</v>
      </c>
    </row>
    <row r="34" spans="1:15" x14ac:dyDescent="0.25">
      <c r="A34" s="40"/>
      <c r="B34" s="40"/>
      <c r="C34" s="40"/>
      <c r="D34" s="40"/>
      <c r="E34" s="40"/>
      <c r="F34" s="40"/>
      <c r="G34" s="40"/>
      <c r="H34" s="40"/>
      <c r="I34" s="40"/>
      <c r="J34" s="40"/>
      <c r="K34" s="40"/>
      <c r="L34" s="40"/>
      <c r="M34" s="40"/>
      <c r="N34" t="e">
        <f>VLOOKUP(C34,'Member Details (HOF Only)'!$A$2:$U$219,7,FALSE)</f>
        <v>#N/A</v>
      </c>
      <c r="O34" t="e">
        <f>VLOOKUP(H34,'Member Details (HOF Only)'!$A$2:$U$219,7,FALSE)</f>
        <v>#N/A</v>
      </c>
    </row>
    <row r="35" spans="1:15" x14ac:dyDescent="0.25">
      <c r="A35" s="40"/>
      <c r="B35" s="40"/>
      <c r="C35" s="40"/>
      <c r="D35" s="40"/>
      <c r="E35" s="40"/>
      <c r="F35" s="40"/>
      <c r="G35" s="40"/>
      <c r="H35" s="40"/>
      <c r="I35" s="40"/>
      <c r="J35" s="40"/>
      <c r="K35" s="40"/>
      <c r="L35" s="40"/>
      <c r="M35" s="40"/>
      <c r="N35" t="e">
        <f>VLOOKUP(C35,'Member Details (HOF Only)'!$A$2:$U$219,7,FALSE)</f>
        <v>#N/A</v>
      </c>
      <c r="O35" t="e">
        <f>VLOOKUP(H35,'Member Details (HOF Only)'!$A$2:$U$219,7,FALSE)</f>
        <v>#N/A</v>
      </c>
    </row>
    <row r="36" spans="1:15" x14ac:dyDescent="0.25">
      <c r="A36" s="40"/>
      <c r="B36" s="40"/>
      <c r="C36" s="40"/>
      <c r="D36" s="40"/>
      <c r="E36" s="40"/>
      <c r="F36" s="40"/>
      <c r="G36" s="40"/>
      <c r="H36" s="40"/>
      <c r="I36" s="40"/>
      <c r="J36" s="40"/>
      <c r="K36" s="40"/>
      <c r="L36" s="40"/>
      <c r="M36" s="40"/>
      <c r="N36" t="e">
        <f>VLOOKUP(C36,'Member Details (HOF Only)'!$A$2:$U$219,7,FALSE)</f>
        <v>#N/A</v>
      </c>
      <c r="O36" t="e">
        <f>VLOOKUP(H36,'Member Details (HOF Only)'!$A$2:$U$219,7,FALSE)</f>
        <v>#N/A</v>
      </c>
    </row>
    <row r="37" spans="1:15" x14ac:dyDescent="0.25">
      <c r="A37" s="40"/>
      <c r="B37" s="40"/>
      <c r="C37" s="40"/>
      <c r="D37" s="40"/>
      <c r="E37" s="40"/>
      <c r="F37" s="40"/>
      <c r="G37" s="40"/>
      <c r="H37" s="40"/>
      <c r="I37" s="40"/>
      <c r="J37" s="40"/>
      <c r="K37" s="40"/>
      <c r="L37" s="40"/>
      <c r="M37" s="40"/>
      <c r="N37" t="e">
        <f>VLOOKUP(C37,'Member Details (HOF Only)'!$A$2:$U$219,7,FALSE)</f>
        <v>#N/A</v>
      </c>
      <c r="O37" t="e">
        <f>VLOOKUP(H37,'Member Details (HOF Only)'!$A$2:$U$219,7,FALSE)</f>
        <v>#N/A</v>
      </c>
    </row>
    <row r="38" spans="1:15" x14ac:dyDescent="0.25">
      <c r="A38" s="40"/>
      <c r="B38" s="40"/>
      <c r="C38" s="40"/>
      <c r="D38" s="40"/>
      <c r="E38" s="40"/>
      <c r="F38" s="40"/>
      <c r="G38" s="40"/>
      <c r="H38" s="40"/>
      <c r="I38" s="40"/>
      <c r="J38" s="40"/>
      <c r="K38" s="40"/>
      <c r="L38" s="40"/>
      <c r="M38" s="40"/>
      <c r="N38" t="e">
        <f>VLOOKUP(C38,'Member Details (HOF Only)'!$A$2:$U$219,7,FALSE)</f>
        <v>#N/A</v>
      </c>
      <c r="O38" t="e">
        <f>VLOOKUP(H38,'Member Details (HOF Only)'!$A$2:$U$219,7,FALSE)</f>
        <v>#N/A</v>
      </c>
    </row>
    <row r="39" spans="1:15" x14ac:dyDescent="0.25">
      <c r="A39" s="40"/>
      <c r="B39" s="40"/>
      <c r="C39" s="40"/>
      <c r="D39" s="40"/>
      <c r="E39" s="40"/>
      <c r="F39" s="40"/>
      <c r="G39" s="40"/>
      <c r="H39" s="40"/>
      <c r="I39" s="40"/>
      <c r="J39" s="40"/>
      <c r="K39" s="40"/>
      <c r="L39" s="40"/>
      <c r="M39" s="40"/>
      <c r="N39" t="e">
        <f>VLOOKUP(C39,'Member Details (HOF Only)'!$A$2:$U$219,7,FALSE)</f>
        <v>#N/A</v>
      </c>
      <c r="O39" t="e">
        <f>VLOOKUP(H39,'Member Details (HOF Only)'!$A$2:$U$219,7,FALSE)</f>
        <v>#N/A</v>
      </c>
    </row>
    <row r="40" spans="1:15" x14ac:dyDescent="0.25">
      <c r="A40" s="40"/>
      <c r="B40" s="40"/>
      <c r="C40" s="40"/>
      <c r="D40" s="40"/>
      <c r="E40" s="40"/>
      <c r="F40" s="40"/>
      <c r="G40" s="40"/>
      <c r="H40" s="40"/>
      <c r="I40" s="40"/>
      <c r="J40" s="40"/>
      <c r="K40" s="40"/>
      <c r="L40" s="40"/>
      <c r="M40" s="40"/>
      <c r="N40" t="e">
        <f>VLOOKUP(C40,'Member Details (HOF Only)'!$A$2:$U$219,7,FALSE)</f>
        <v>#N/A</v>
      </c>
      <c r="O40" t="e">
        <f>VLOOKUP(H40,'Member Details (HOF Only)'!$A$2:$U$219,7,FALSE)</f>
        <v>#N/A</v>
      </c>
    </row>
    <row r="41" spans="1:15" x14ac:dyDescent="0.25">
      <c r="A41" s="40"/>
      <c r="B41" s="40"/>
      <c r="C41" s="40"/>
      <c r="D41" s="40"/>
      <c r="E41" s="40"/>
      <c r="F41" s="40"/>
      <c r="G41" s="40"/>
      <c r="H41" s="40"/>
      <c r="I41" s="40"/>
      <c r="J41" s="40"/>
      <c r="K41" s="40"/>
      <c r="L41" s="40"/>
      <c r="M41" s="40"/>
      <c r="N41" t="e">
        <f>VLOOKUP(C41,'Member Details (HOF Only)'!$A$2:$U$219,7,FALSE)</f>
        <v>#N/A</v>
      </c>
      <c r="O41" t="e">
        <f>VLOOKUP(H41,'Member Details (HOF Only)'!$A$2:$U$219,7,FALSE)</f>
        <v>#N/A</v>
      </c>
    </row>
    <row r="42" spans="1:15" x14ac:dyDescent="0.25">
      <c r="A42" s="40"/>
      <c r="B42" s="40"/>
      <c r="C42" s="40"/>
      <c r="D42" s="40"/>
      <c r="E42" s="40"/>
      <c r="F42" s="40"/>
      <c r="G42" s="40"/>
      <c r="H42" s="40"/>
      <c r="I42" s="40"/>
      <c r="J42" s="40"/>
      <c r="K42" s="40"/>
      <c r="L42" s="40"/>
      <c r="M42" s="40"/>
      <c r="N42" t="e">
        <f>VLOOKUP(C42,'Member Details (HOF Only)'!$A$2:$U$219,7,FALSE)</f>
        <v>#N/A</v>
      </c>
      <c r="O42" t="e">
        <f>VLOOKUP(H42,'Member Details (HOF Only)'!$A$2:$U$219,7,FALSE)</f>
        <v>#N/A</v>
      </c>
    </row>
    <row r="43" spans="1:15" x14ac:dyDescent="0.25">
      <c r="A43" s="40"/>
      <c r="B43" s="40"/>
      <c r="C43" s="40"/>
      <c r="D43" s="40"/>
      <c r="E43" s="40"/>
      <c r="F43" s="40"/>
      <c r="G43" s="40"/>
      <c r="H43" s="40"/>
      <c r="I43" s="40"/>
      <c r="J43" s="40"/>
      <c r="K43" s="40"/>
      <c r="L43" s="40"/>
      <c r="M43" s="40"/>
      <c r="N43" t="e">
        <f>VLOOKUP(C43,'Member Details (HOF Only)'!$A$2:$U$219,7,FALSE)</f>
        <v>#N/A</v>
      </c>
      <c r="O43" t="e">
        <f>VLOOKUP(H43,'Member Details (HOF Only)'!$A$2:$U$219,7,FALSE)</f>
        <v>#N/A</v>
      </c>
    </row>
    <row r="44" spans="1:15" x14ac:dyDescent="0.25">
      <c r="A44" s="40"/>
      <c r="B44" s="40"/>
      <c r="C44" s="40"/>
      <c r="D44" s="40"/>
      <c r="E44" s="40"/>
      <c r="F44" s="40"/>
      <c r="G44" s="40"/>
      <c r="H44" s="40"/>
      <c r="I44" s="40"/>
      <c r="J44" s="40"/>
      <c r="K44" s="40"/>
      <c r="L44" s="40"/>
      <c r="M44" s="40"/>
      <c r="N44" t="e">
        <f>VLOOKUP(C44,'Member Details (HOF Only)'!$A$2:$U$219,7,FALSE)</f>
        <v>#N/A</v>
      </c>
      <c r="O44" t="e">
        <f>VLOOKUP(H44,'Member Details (HOF Only)'!$A$2:$U$219,7,FALSE)</f>
        <v>#N/A</v>
      </c>
    </row>
    <row r="45" spans="1:15" x14ac:dyDescent="0.25">
      <c r="A45" s="40"/>
      <c r="B45" s="40"/>
      <c r="C45" s="40"/>
      <c r="D45" s="40"/>
      <c r="E45" s="40"/>
      <c r="F45" s="40"/>
      <c r="G45" s="40"/>
      <c r="H45" s="40"/>
      <c r="I45" s="40"/>
      <c r="J45" s="40"/>
      <c r="K45" s="40"/>
      <c r="L45" s="40"/>
      <c r="M45" s="40"/>
      <c r="N45" t="e">
        <f>VLOOKUP(C45,'Member Details (HOF Only)'!$A$2:$U$219,7,FALSE)</f>
        <v>#N/A</v>
      </c>
      <c r="O45" t="e">
        <f>VLOOKUP(H45,'Member Details (HOF Only)'!$A$2:$U$219,7,FALSE)</f>
        <v>#N/A</v>
      </c>
    </row>
    <row r="46" spans="1:15" x14ac:dyDescent="0.25">
      <c r="A46" s="40"/>
      <c r="B46" s="40"/>
      <c r="C46" s="40"/>
      <c r="D46" s="40"/>
      <c r="E46" s="40"/>
      <c r="F46" s="40"/>
      <c r="G46" s="40"/>
      <c r="H46" s="40"/>
      <c r="I46" s="40"/>
      <c r="J46" s="40"/>
      <c r="K46" s="40"/>
      <c r="L46" s="40"/>
      <c r="M46" s="40"/>
      <c r="N46" t="e">
        <f>VLOOKUP(C46,'Member Details (HOF Only)'!$A$2:$U$219,7,FALSE)</f>
        <v>#N/A</v>
      </c>
      <c r="O46" t="e">
        <f>VLOOKUP(H46,'Member Details (HOF Only)'!$A$2:$U$219,7,FALSE)</f>
        <v>#N/A</v>
      </c>
    </row>
    <row r="47" spans="1:15" x14ac:dyDescent="0.25">
      <c r="A47" s="40"/>
      <c r="B47" s="40"/>
      <c r="C47" s="40"/>
      <c r="D47" s="40"/>
      <c r="E47" s="40"/>
      <c r="F47" s="40"/>
      <c r="G47" s="40"/>
      <c r="H47" s="40"/>
      <c r="I47" s="40"/>
      <c r="J47" s="40"/>
      <c r="K47" s="40"/>
      <c r="L47" s="40"/>
      <c r="M47" s="40"/>
      <c r="N47" t="e">
        <f>VLOOKUP(C47,'Member Details (HOF Only)'!$A$2:$U$219,7,FALSE)</f>
        <v>#N/A</v>
      </c>
      <c r="O47" t="e">
        <f>VLOOKUP(H47,'Member Details (HOF Only)'!$A$2:$U$219,7,FALSE)</f>
        <v>#N/A</v>
      </c>
    </row>
    <row r="48" spans="1:15" x14ac:dyDescent="0.25">
      <c r="A48" s="40"/>
      <c r="B48" s="40"/>
      <c r="C48" s="40"/>
      <c r="D48" s="40"/>
      <c r="E48" s="40"/>
      <c r="F48" s="40"/>
      <c r="G48" s="40"/>
      <c r="H48" s="40"/>
      <c r="I48" s="40"/>
      <c r="J48" s="40"/>
      <c r="K48" s="40"/>
      <c r="L48" s="40"/>
      <c r="M48" s="40"/>
      <c r="N48" t="e">
        <f>VLOOKUP(C48,'Member Details (HOF Only)'!$A$2:$U$219,7,FALSE)</f>
        <v>#N/A</v>
      </c>
      <c r="O48" t="e">
        <f>VLOOKUP(H48,'Member Details (HOF Only)'!$A$2:$U$219,7,FALSE)</f>
        <v>#N/A</v>
      </c>
    </row>
    <row r="49" spans="1:15" x14ac:dyDescent="0.25">
      <c r="A49" s="40"/>
      <c r="B49" s="40"/>
      <c r="C49" s="40"/>
      <c r="D49" s="40"/>
      <c r="E49" s="40"/>
      <c r="F49" s="40"/>
      <c r="G49" s="40"/>
      <c r="H49" s="40"/>
      <c r="I49" s="40"/>
      <c r="J49" s="40"/>
      <c r="K49" s="40"/>
      <c r="L49" s="40"/>
      <c r="M49" s="40"/>
      <c r="N49" t="e">
        <f>VLOOKUP(C49,'Member Details (HOF Only)'!$A$2:$U$219,7,FALSE)</f>
        <v>#N/A</v>
      </c>
      <c r="O49" t="e">
        <f>VLOOKUP(H49,'Member Details (HOF Only)'!$A$2:$U$219,7,FALSE)</f>
        <v>#N/A</v>
      </c>
    </row>
    <row r="50" spans="1:15" x14ac:dyDescent="0.25">
      <c r="A50" s="40"/>
      <c r="B50" s="40"/>
      <c r="C50" s="40"/>
      <c r="D50" s="40"/>
      <c r="E50" s="40"/>
      <c r="F50" s="40"/>
      <c r="G50" s="40"/>
      <c r="H50" s="40"/>
      <c r="I50" s="40"/>
      <c r="J50" s="40"/>
      <c r="K50" s="40"/>
      <c r="L50" s="40"/>
      <c r="M50" s="40"/>
      <c r="N50" t="e">
        <f>VLOOKUP(C50,'Member Details (HOF Only)'!$A$2:$U$219,7,FALSE)</f>
        <v>#N/A</v>
      </c>
      <c r="O50" t="e">
        <f>VLOOKUP(H50,'Member Details (HOF Only)'!$A$2:$U$219,7,FALSE)</f>
        <v>#N/A</v>
      </c>
    </row>
    <row r="51" spans="1:15" x14ac:dyDescent="0.25">
      <c r="A51" s="40"/>
      <c r="B51" s="40"/>
      <c r="C51" s="40"/>
      <c r="D51" s="40"/>
      <c r="E51" s="40"/>
      <c r="F51" s="40"/>
      <c r="G51" s="40"/>
      <c r="H51" s="40"/>
      <c r="I51" s="40"/>
      <c r="J51" s="40"/>
      <c r="K51" s="40"/>
      <c r="L51" s="40"/>
      <c r="M51" s="40"/>
      <c r="N51" t="e">
        <f>VLOOKUP(C51,'Member Details (HOF Only)'!$A$2:$U$219,7,FALSE)</f>
        <v>#N/A</v>
      </c>
      <c r="O51" t="e">
        <f>VLOOKUP(H51,'Member Details (HOF Only)'!$A$2:$U$219,7,FALSE)</f>
        <v>#N/A</v>
      </c>
    </row>
    <row r="52" spans="1:15" x14ac:dyDescent="0.25">
      <c r="A52" s="40"/>
      <c r="B52" s="40"/>
      <c r="C52" s="40"/>
      <c r="D52" s="40"/>
      <c r="E52" s="40"/>
      <c r="F52" s="40"/>
      <c r="G52" s="40"/>
      <c r="H52" s="40"/>
      <c r="I52" s="40"/>
      <c r="J52" s="40"/>
      <c r="K52" s="40"/>
      <c r="L52" s="40"/>
      <c r="M52" s="40"/>
      <c r="N52" t="e">
        <f>VLOOKUP(C52,'Member Details (HOF Only)'!$A$2:$U$219,7,FALSE)</f>
        <v>#N/A</v>
      </c>
      <c r="O52" t="e">
        <f>VLOOKUP(H52,'Member Details (HOF Only)'!$A$2:$U$219,7,FALSE)</f>
        <v>#N/A</v>
      </c>
    </row>
    <row r="53" spans="1:15" x14ac:dyDescent="0.25">
      <c r="A53" s="40"/>
      <c r="B53" s="40"/>
      <c r="C53" s="40"/>
      <c r="D53" s="40"/>
      <c r="E53" s="40"/>
      <c r="F53" s="40"/>
      <c r="G53" s="40"/>
      <c r="H53" s="40"/>
      <c r="I53" s="40"/>
      <c r="J53" s="40"/>
      <c r="K53" s="40"/>
      <c r="L53" s="40"/>
      <c r="M53" s="40"/>
      <c r="N53" t="e">
        <f>VLOOKUP(C53,'Member Details (HOF Only)'!$A$2:$U$219,7,FALSE)</f>
        <v>#N/A</v>
      </c>
      <c r="O53" t="e">
        <f>VLOOKUP(H53,'Member Details (HOF Only)'!$A$2:$U$219,7,FALSE)</f>
        <v>#N/A</v>
      </c>
    </row>
    <row r="54" spans="1:15" x14ac:dyDescent="0.25">
      <c r="A54" s="40"/>
      <c r="B54" s="40"/>
      <c r="C54" s="40"/>
      <c r="D54" s="40"/>
      <c r="E54" s="40"/>
      <c r="F54" s="40"/>
      <c r="G54" s="40"/>
      <c r="H54" s="40"/>
      <c r="I54" s="40"/>
      <c r="J54" s="40"/>
      <c r="K54" s="40"/>
      <c r="L54" s="40"/>
      <c r="M54" s="40"/>
      <c r="N54" t="e">
        <f>VLOOKUP(C54,'Member Details (HOF Only)'!$A$2:$U$219,7,FALSE)</f>
        <v>#N/A</v>
      </c>
      <c r="O54" t="e">
        <f>VLOOKUP(H54,'Member Details (HOF Only)'!$A$2:$U$219,7,FALSE)</f>
        <v>#N/A</v>
      </c>
    </row>
    <row r="55" spans="1:15" x14ac:dyDescent="0.25">
      <c r="A55" s="40"/>
      <c r="B55" s="40"/>
      <c r="C55" s="40"/>
      <c r="D55" s="40"/>
      <c r="E55" s="40"/>
      <c r="F55" s="40"/>
      <c r="G55" s="40"/>
      <c r="H55" s="40"/>
      <c r="I55" s="40"/>
      <c r="J55" s="40"/>
      <c r="K55" s="40"/>
      <c r="L55" s="40"/>
      <c r="M55" s="40"/>
      <c r="N55" t="e">
        <f>VLOOKUP(C55,'Member Details (HOF Only)'!$A$2:$U$219,7,FALSE)</f>
        <v>#N/A</v>
      </c>
      <c r="O55" t="e">
        <f>VLOOKUP(H55,'Member Details (HOF Only)'!$A$2:$U$219,7,FALSE)</f>
        <v>#N/A</v>
      </c>
    </row>
    <row r="56" spans="1:15" x14ac:dyDescent="0.25">
      <c r="A56" s="40"/>
      <c r="B56" s="40"/>
      <c r="C56" s="40"/>
      <c r="D56" s="40"/>
      <c r="E56" s="40"/>
      <c r="F56" s="40"/>
      <c r="G56" s="40"/>
      <c r="H56" s="40"/>
      <c r="I56" s="40"/>
      <c r="J56" s="40"/>
      <c r="K56" s="40"/>
      <c r="L56" s="40"/>
      <c r="M56" s="40"/>
      <c r="N56" t="e">
        <f>VLOOKUP(C56,'Member Details (HOF Only)'!$A$2:$U$219,7,FALSE)</f>
        <v>#N/A</v>
      </c>
      <c r="O56" t="e">
        <f>VLOOKUP(H56,'Member Details (HOF Only)'!$A$2:$U$219,7,FALSE)</f>
        <v>#N/A</v>
      </c>
    </row>
    <row r="57" spans="1:15" x14ac:dyDescent="0.25">
      <c r="A57" s="40"/>
      <c r="B57" s="40"/>
      <c r="C57" s="40"/>
      <c r="D57" s="40"/>
      <c r="E57" s="40"/>
      <c r="F57" s="40"/>
      <c r="G57" s="40"/>
      <c r="H57" s="40"/>
      <c r="I57" s="40"/>
      <c r="J57" s="40"/>
      <c r="K57" s="40"/>
      <c r="L57" s="40"/>
      <c r="M57" s="40"/>
      <c r="N57" t="e">
        <f>VLOOKUP(C57,'Member Details (HOF Only)'!$A$2:$U$219,7,FALSE)</f>
        <v>#N/A</v>
      </c>
      <c r="O57" t="e">
        <f>VLOOKUP(H57,'Member Details (HOF Only)'!$A$2:$U$219,7,FALSE)</f>
        <v>#N/A</v>
      </c>
    </row>
    <row r="58" spans="1:15" x14ac:dyDescent="0.25">
      <c r="A58" s="40"/>
      <c r="B58" s="40"/>
      <c r="C58" s="40"/>
      <c r="D58" s="40"/>
      <c r="E58" s="40"/>
      <c r="F58" s="40"/>
      <c r="G58" s="40"/>
      <c r="H58" s="40"/>
      <c r="I58" s="40"/>
      <c r="J58" s="40"/>
      <c r="K58" s="40"/>
      <c r="L58" s="40"/>
      <c r="M58" s="40"/>
      <c r="N58" t="e">
        <f>VLOOKUP(C58,'Member Details (HOF Only)'!$A$2:$U$219,7,FALSE)</f>
        <v>#N/A</v>
      </c>
      <c r="O58" t="e">
        <f>VLOOKUP(H58,'Member Details (HOF Only)'!$A$2:$U$219,7,FALSE)</f>
        <v>#N/A</v>
      </c>
    </row>
    <row r="59" spans="1:15" x14ac:dyDescent="0.25">
      <c r="A59" s="40"/>
      <c r="B59" s="40"/>
      <c r="C59" s="40"/>
      <c r="D59" s="40"/>
      <c r="E59" s="40"/>
      <c r="F59" s="40"/>
      <c r="G59" s="40"/>
      <c r="H59" s="40"/>
      <c r="I59" s="40"/>
      <c r="J59" s="40"/>
      <c r="K59" s="40"/>
      <c r="L59" s="40"/>
      <c r="M59" s="40"/>
      <c r="N59" t="e">
        <f>VLOOKUP(C59,'Member Details (HOF Only)'!$A$2:$U$219,7,FALSE)</f>
        <v>#N/A</v>
      </c>
      <c r="O59" t="e">
        <f>VLOOKUP(H59,'Member Details (HOF Only)'!$A$2:$U$219,7,FALSE)</f>
        <v>#N/A</v>
      </c>
    </row>
    <row r="60" spans="1:15" x14ac:dyDescent="0.25">
      <c r="A60" s="40"/>
      <c r="B60" s="40"/>
      <c r="C60" s="40"/>
      <c r="D60" s="40"/>
      <c r="E60" s="40"/>
      <c r="F60" s="40"/>
      <c r="G60" s="40"/>
      <c r="H60" s="40"/>
      <c r="I60" s="40"/>
      <c r="J60" s="40"/>
      <c r="K60" s="40"/>
      <c r="L60" s="40"/>
      <c r="M60" s="40"/>
      <c r="N60" t="e">
        <f>VLOOKUP(C60,'Member Details (HOF Only)'!$A$2:$U$219,7,FALSE)</f>
        <v>#N/A</v>
      </c>
      <c r="O60" t="e">
        <f>VLOOKUP(H60,'Member Details (HOF Only)'!$A$2:$U$219,7,FALSE)</f>
        <v>#N/A</v>
      </c>
    </row>
    <row r="61" spans="1:15" x14ac:dyDescent="0.25">
      <c r="A61" s="40"/>
      <c r="B61" s="40"/>
      <c r="C61" s="40"/>
      <c r="D61" s="40"/>
      <c r="E61" s="40"/>
      <c r="F61" s="40"/>
      <c r="G61" s="40"/>
      <c r="H61" s="40"/>
      <c r="I61" s="40"/>
      <c r="J61" s="40"/>
      <c r="K61" s="40"/>
      <c r="L61" s="40"/>
      <c r="M61" s="40"/>
      <c r="N61" t="e">
        <f>VLOOKUP(C61,'Member Details (HOF Only)'!$A$2:$U$219,7,FALSE)</f>
        <v>#N/A</v>
      </c>
      <c r="O61" t="e">
        <f>VLOOKUP(H61,'Member Details (HOF Only)'!$A$2:$U$219,7,FALSE)</f>
        <v>#N/A</v>
      </c>
    </row>
    <row r="62" spans="1:15" x14ac:dyDescent="0.25">
      <c r="A62" s="40"/>
      <c r="B62" s="40"/>
      <c r="C62" s="40"/>
      <c r="D62" s="40"/>
      <c r="E62" s="40"/>
      <c r="F62" s="40"/>
      <c r="G62" s="40"/>
      <c r="H62" s="40"/>
      <c r="I62" s="40"/>
      <c r="J62" s="40"/>
      <c r="K62" s="40"/>
      <c r="L62" s="40"/>
      <c r="M62" s="40"/>
      <c r="N62" t="e">
        <f>VLOOKUP(C62,'Member Details (HOF Only)'!$A$2:$U$219,7,FALSE)</f>
        <v>#N/A</v>
      </c>
      <c r="O62" t="e">
        <f>VLOOKUP(H62,'Member Details (HOF Only)'!$A$2:$U$219,7,FALSE)</f>
        <v>#N/A</v>
      </c>
    </row>
    <row r="63" spans="1:15" x14ac:dyDescent="0.25">
      <c r="A63" s="40"/>
      <c r="B63" s="40"/>
      <c r="C63" s="40"/>
      <c r="D63" s="40"/>
      <c r="E63" s="40"/>
      <c r="F63" s="40"/>
      <c r="G63" s="40"/>
      <c r="H63" s="40"/>
      <c r="I63" s="40"/>
      <c r="J63" s="40"/>
      <c r="K63" s="40"/>
      <c r="L63" s="40"/>
      <c r="M63" s="40"/>
      <c r="N63" t="e">
        <f>VLOOKUP(C63,'Member Details (HOF Only)'!$A$2:$U$219,7,FALSE)</f>
        <v>#N/A</v>
      </c>
      <c r="O63" t="e">
        <f>VLOOKUP(H63,'Member Details (HOF Only)'!$A$2:$U$219,7,FALSE)</f>
        <v>#N/A</v>
      </c>
    </row>
    <row r="64" spans="1:15" x14ac:dyDescent="0.25">
      <c r="A64" s="40"/>
      <c r="B64" s="40"/>
      <c r="C64" s="40"/>
      <c r="D64" s="40"/>
      <c r="E64" s="40"/>
      <c r="F64" s="40"/>
      <c r="G64" s="40"/>
      <c r="H64" s="40"/>
      <c r="I64" s="40"/>
      <c r="J64" s="40"/>
      <c r="K64" s="40"/>
      <c r="L64" s="40"/>
      <c r="M64" s="40"/>
      <c r="N64" t="e">
        <f>VLOOKUP(C64,'Member Details (HOF Only)'!$A$2:$U$219,7,FALSE)</f>
        <v>#N/A</v>
      </c>
      <c r="O64" t="e">
        <f>VLOOKUP(H64,'Member Details (HOF Only)'!$A$2:$U$219,7,FALSE)</f>
        <v>#N/A</v>
      </c>
    </row>
    <row r="65" spans="1:15" x14ac:dyDescent="0.25">
      <c r="A65" s="40"/>
      <c r="B65" s="40"/>
      <c r="C65" s="40"/>
      <c r="D65" s="40"/>
      <c r="E65" s="40"/>
      <c r="F65" s="40"/>
      <c r="G65" s="40"/>
      <c r="H65" s="40"/>
      <c r="I65" s="40"/>
      <c r="J65" s="40"/>
      <c r="K65" s="40"/>
      <c r="L65" s="40"/>
      <c r="M65" s="40"/>
      <c r="N65" t="e">
        <f>VLOOKUP(C65,'Member Details (HOF Only)'!$A$2:$U$219,7,FALSE)</f>
        <v>#N/A</v>
      </c>
      <c r="O65" t="e">
        <f>VLOOKUP(H65,'Member Details (HOF Only)'!$A$2:$U$219,7,FALSE)</f>
        <v>#N/A</v>
      </c>
    </row>
    <row r="66" spans="1:15" x14ac:dyDescent="0.25">
      <c r="A66" s="40"/>
      <c r="B66" s="40"/>
      <c r="C66" s="40"/>
      <c r="D66" s="40"/>
      <c r="E66" s="40"/>
      <c r="F66" s="40"/>
      <c r="G66" s="40"/>
      <c r="H66" s="40"/>
      <c r="I66" s="40"/>
      <c r="J66" s="40"/>
      <c r="K66" s="40"/>
      <c r="L66" s="40"/>
      <c r="M66" s="40"/>
      <c r="N66" t="e">
        <f>VLOOKUP(C66,'Member Details (HOF Only)'!$A$2:$U$219,7,FALSE)</f>
        <v>#N/A</v>
      </c>
      <c r="O66" t="e">
        <f>VLOOKUP(H66,'Member Details (HOF Only)'!$A$2:$U$219,7,FALSE)</f>
        <v>#N/A</v>
      </c>
    </row>
    <row r="67" spans="1:15" x14ac:dyDescent="0.25">
      <c r="A67" s="40"/>
      <c r="B67" s="40"/>
      <c r="C67" s="40"/>
      <c r="D67" s="40"/>
      <c r="E67" s="40"/>
      <c r="F67" s="40"/>
      <c r="G67" s="40"/>
      <c r="H67" s="40"/>
      <c r="I67" s="40"/>
      <c r="J67" s="40"/>
      <c r="K67" s="40"/>
      <c r="L67" s="40"/>
      <c r="M67" s="40"/>
      <c r="N67" t="e">
        <f>VLOOKUP(C67,'Member Details (HOF Only)'!$A$2:$U$219,7,FALSE)</f>
        <v>#N/A</v>
      </c>
      <c r="O67" t="e">
        <f>VLOOKUP(H67,'Member Details (HOF Only)'!$A$2:$U$219,7,FALSE)</f>
        <v>#N/A</v>
      </c>
    </row>
    <row r="68" spans="1:15" x14ac:dyDescent="0.25">
      <c r="A68" s="40"/>
      <c r="B68" s="40"/>
      <c r="C68" s="40"/>
      <c r="D68" s="40"/>
      <c r="E68" s="40"/>
      <c r="F68" s="40"/>
      <c r="G68" s="40"/>
      <c r="H68" s="40"/>
      <c r="I68" s="40"/>
      <c r="J68" s="40"/>
      <c r="K68" s="40"/>
      <c r="L68" s="40"/>
      <c r="M68" s="40"/>
      <c r="N68" t="e">
        <f>VLOOKUP(C68,'Member Details (HOF Only)'!$A$2:$U$219,7,FALSE)</f>
        <v>#N/A</v>
      </c>
      <c r="O68" t="e">
        <f>VLOOKUP(H68,'Member Details (HOF Only)'!$A$2:$U$219,7,FALSE)</f>
        <v>#N/A</v>
      </c>
    </row>
    <row r="69" spans="1:15" x14ac:dyDescent="0.25">
      <c r="A69" s="40"/>
      <c r="B69" s="40"/>
      <c r="C69" s="40"/>
      <c r="D69" s="40"/>
      <c r="E69" s="40"/>
      <c r="F69" s="40"/>
      <c r="G69" s="40"/>
      <c r="H69" s="40"/>
      <c r="I69" s="40"/>
      <c r="J69" s="40"/>
      <c r="K69" s="40"/>
      <c r="L69" s="40"/>
      <c r="M69" s="40"/>
      <c r="N69" t="e">
        <f>VLOOKUP(C69,'Member Details (HOF Only)'!$A$2:$U$219,7,FALSE)</f>
        <v>#N/A</v>
      </c>
      <c r="O69" t="e">
        <f>VLOOKUP(H69,'Member Details (HOF Only)'!$A$2:$U$219,7,FALSE)</f>
        <v>#N/A</v>
      </c>
    </row>
    <row r="70" spans="1:15" x14ac:dyDescent="0.25">
      <c r="A70" s="40"/>
      <c r="B70" s="40"/>
      <c r="C70" s="40"/>
      <c r="D70" s="40"/>
      <c r="E70" s="40"/>
      <c r="F70" s="40"/>
      <c r="G70" s="40"/>
      <c r="H70" s="40"/>
      <c r="I70" s="40"/>
      <c r="J70" s="40"/>
      <c r="K70" s="40"/>
      <c r="L70" s="40"/>
      <c r="M70" s="40"/>
      <c r="N70" t="e">
        <f>VLOOKUP(C70,'Member Details (HOF Only)'!$A$2:$U$219,7,FALSE)</f>
        <v>#N/A</v>
      </c>
      <c r="O70" t="e">
        <f>VLOOKUP(H70,'Member Details (HOF Only)'!$A$2:$U$219,7,FALSE)</f>
        <v>#N/A</v>
      </c>
    </row>
    <row r="71" spans="1:15" x14ac:dyDescent="0.25">
      <c r="A71" s="40"/>
      <c r="B71" s="40"/>
      <c r="C71" s="40"/>
      <c r="D71" s="40"/>
      <c r="E71" s="40"/>
      <c r="F71" s="40"/>
      <c r="G71" s="40"/>
      <c r="H71" s="40"/>
      <c r="I71" s="40"/>
      <c r="J71" s="40"/>
      <c r="K71" s="40"/>
      <c r="L71" s="40"/>
      <c r="M71" s="40"/>
      <c r="N71" t="e">
        <f>VLOOKUP(C71,'Member Details (HOF Only)'!$A$2:$U$219,7,FALSE)</f>
        <v>#N/A</v>
      </c>
      <c r="O71" t="e">
        <f>VLOOKUP(H71,'Member Details (HOF Only)'!$A$2:$U$219,7,FALSE)</f>
        <v>#N/A</v>
      </c>
    </row>
    <row r="72" spans="1:15" x14ac:dyDescent="0.25">
      <c r="A72" s="40"/>
      <c r="B72" s="40"/>
      <c r="C72" s="40"/>
      <c r="D72" s="40"/>
      <c r="E72" s="40"/>
      <c r="F72" s="40"/>
      <c r="G72" s="40"/>
      <c r="H72" s="40"/>
      <c r="I72" s="40"/>
      <c r="J72" s="40"/>
      <c r="K72" s="40"/>
      <c r="L72" s="40"/>
      <c r="M72" s="40"/>
      <c r="N72" t="e">
        <f>VLOOKUP(C72,'Member Details (HOF Only)'!$A$2:$U$219,7,FALSE)</f>
        <v>#N/A</v>
      </c>
      <c r="O72" t="e">
        <f>VLOOKUP(H72,'Member Details (HOF Only)'!$A$2:$U$219,7,FALSE)</f>
        <v>#N/A</v>
      </c>
    </row>
    <row r="73" spans="1:15" x14ac:dyDescent="0.25">
      <c r="A73" s="40"/>
      <c r="B73" s="40"/>
      <c r="C73" s="40"/>
      <c r="D73" s="40"/>
      <c r="E73" s="40"/>
      <c r="F73" s="40"/>
      <c r="G73" s="40"/>
      <c r="H73" s="40"/>
      <c r="I73" s="40"/>
      <c r="J73" s="40"/>
      <c r="K73" s="40"/>
      <c r="L73" s="40"/>
      <c r="M73" s="40"/>
      <c r="N73" t="e">
        <f>VLOOKUP(C73,'Member Details (HOF Only)'!$A$2:$U$219,7,FALSE)</f>
        <v>#N/A</v>
      </c>
      <c r="O73" t="e">
        <f>VLOOKUP(H73,'Member Details (HOF Only)'!$A$2:$U$219,7,FALSE)</f>
        <v>#N/A</v>
      </c>
    </row>
    <row r="74" spans="1:15" x14ac:dyDescent="0.25">
      <c r="A74" s="40"/>
      <c r="B74" s="40"/>
      <c r="C74" s="40"/>
      <c r="D74" s="40"/>
      <c r="E74" s="40"/>
      <c r="F74" s="40"/>
      <c r="G74" s="40"/>
      <c r="H74" s="40"/>
      <c r="I74" s="40"/>
      <c r="J74" s="40"/>
      <c r="K74" s="40"/>
      <c r="L74" s="40"/>
      <c r="M74" s="40"/>
      <c r="N74" t="e">
        <f>VLOOKUP(C74,'Member Details (HOF Only)'!$A$2:$U$219,7,FALSE)</f>
        <v>#N/A</v>
      </c>
      <c r="O74" t="e">
        <f>VLOOKUP(H74,'Member Details (HOF Only)'!$A$2:$U$219,7,FALSE)</f>
        <v>#N/A</v>
      </c>
    </row>
    <row r="75" spans="1:15" x14ac:dyDescent="0.25">
      <c r="A75" s="40"/>
      <c r="B75" s="40"/>
      <c r="C75" s="40"/>
      <c r="D75" s="40"/>
      <c r="E75" s="40"/>
      <c r="F75" s="40"/>
      <c r="G75" s="40"/>
      <c r="H75" s="40"/>
      <c r="I75" s="40"/>
      <c r="J75" s="40"/>
      <c r="K75" s="40"/>
      <c r="L75" s="40"/>
      <c r="M75" s="40"/>
      <c r="N75" t="e">
        <f>VLOOKUP(C75,'Member Details (HOF Only)'!$A$2:$U$219,7,FALSE)</f>
        <v>#N/A</v>
      </c>
      <c r="O75" t="e">
        <f>VLOOKUP(H75,'Member Details (HOF Only)'!$A$2:$U$219,7,FALSE)</f>
        <v>#N/A</v>
      </c>
    </row>
    <row r="76" spans="1:15" x14ac:dyDescent="0.25">
      <c r="A76" s="40"/>
      <c r="B76" s="40"/>
      <c r="C76" s="40"/>
      <c r="D76" s="40"/>
      <c r="E76" s="40"/>
      <c r="F76" s="40"/>
      <c r="G76" s="40"/>
      <c r="H76" s="40"/>
      <c r="I76" s="40"/>
      <c r="J76" s="40"/>
      <c r="K76" s="40"/>
      <c r="L76" s="40"/>
      <c r="M76" s="40"/>
      <c r="N76" t="e">
        <f>VLOOKUP(C76,'Member Details (HOF Only)'!$A$2:$U$219,7,FALSE)</f>
        <v>#N/A</v>
      </c>
      <c r="O76" t="e">
        <f>VLOOKUP(H76,'Member Details (HOF Only)'!$A$2:$U$219,7,FALSE)</f>
        <v>#N/A</v>
      </c>
    </row>
    <row r="77" spans="1:15" x14ac:dyDescent="0.25">
      <c r="A77" s="40"/>
      <c r="B77" s="40"/>
      <c r="C77" s="40"/>
      <c r="D77" s="40"/>
      <c r="E77" s="40"/>
      <c r="F77" s="40"/>
      <c r="G77" s="40"/>
      <c r="H77" s="40"/>
      <c r="I77" s="40"/>
      <c r="J77" s="40"/>
      <c r="K77" s="40"/>
      <c r="L77" s="40"/>
      <c r="M77" s="40"/>
      <c r="N77" t="e">
        <f>VLOOKUP(C77,'Member Details (HOF Only)'!$A$2:$U$219,7,FALSE)</f>
        <v>#N/A</v>
      </c>
      <c r="O77" t="e">
        <f>VLOOKUP(H77,'Member Details (HOF Only)'!$A$2:$U$219,7,FALSE)</f>
        <v>#N/A</v>
      </c>
    </row>
    <row r="78" spans="1:15" x14ac:dyDescent="0.25">
      <c r="A78" s="40"/>
      <c r="B78" s="40"/>
      <c r="C78" s="40"/>
      <c r="D78" s="40"/>
      <c r="E78" s="40"/>
      <c r="F78" s="40"/>
      <c r="G78" s="40"/>
      <c r="H78" s="40"/>
      <c r="I78" s="40"/>
      <c r="J78" s="40"/>
      <c r="K78" s="40"/>
      <c r="L78" s="40"/>
      <c r="M78" s="40"/>
      <c r="N78" t="e">
        <f>VLOOKUP(C78,'Member Details (HOF Only)'!$A$2:$U$219,7,FALSE)</f>
        <v>#N/A</v>
      </c>
      <c r="O78" t="e">
        <f>VLOOKUP(H78,'Member Details (HOF Only)'!$A$2:$U$219,7,FALSE)</f>
        <v>#N/A</v>
      </c>
    </row>
    <row r="79" spans="1:15" x14ac:dyDescent="0.25">
      <c r="A79" s="40"/>
      <c r="B79" s="40"/>
      <c r="C79" s="40"/>
      <c r="D79" s="40"/>
      <c r="E79" s="40"/>
      <c r="F79" s="40"/>
      <c r="G79" s="40"/>
      <c r="H79" s="40"/>
      <c r="I79" s="40"/>
      <c r="J79" s="40"/>
      <c r="K79" s="40"/>
      <c r="L79" s="40"/>
      <c r="M79" s="40"/>
      <c r="N79" t="e">
        <f>VLOOKUP(C79,'Member Details (HOF Only)'!$A$2:$U$219,7,FALSE)</f>
        <v>#N/A</v>
      </c>
      <c r="O79" t="e">
        <f>VLOOKUP(H79,'Member Details (HOF Only)'!$A$2:$U$219,7,FALSE)</f>
        <v>#N/A</v>
      </c>
    </row>
    <row r="80" spans="1:15" x14ac:dyDescent="0.25">
      <c r="A80" s="40"/>
      <c r="B80" s="40"/>
      <c r="C80" s="40"/>
      <c r="D80" s="40"/>
      <c r="E80" s="40"/>
      <c r="F80" s="40"/>
      <c r="G80" s="40"/>
      <c r="H80" s="40"/>
      <c r="I80" s="40"/>
      <c r="J80" s="40"/>
      <c r="K80" s="40"/>
      <c r="L80" s="40"/>
      <c r="M80" s="40"/>
      <c r="N80" t="e">
        <f>VLOOKUP(C80,'Member Details (HOF Only)'!$A$2:$U$219,7,FALSE)</f>
        <v>#N/A</v>
      </c>
      <c r="O80" t="e">
        <f>VLOOKUP(H80,'Member Details (HOF Only)'!$A$2:$U$219,7,FALSE)</f>
        <v>#N/A</v>
      </c>
    </row>
    <row r="81" spans="1:15" x14ac:dyDescent="0.25">
      <c r="A81" s="40"/>
      <c r="B81" s="40"/>
      <c r="C81" s="40"/>
      <c r="D81" s="40"/>
      <c r="E81" s="40"/>
      <c r="F81" s="40"/>
      <c r="G81" s="40"/>
      <c r="H81" s="40"/>
      <c r="I81" s="40"/>
      <c r="J81" s="40"/>
      <c r="K81" s="40"/>
      <c r="L81" s="40"/>
      <c r="M81" s="40"/>
      <c r="N81" t="e">
        <f>VLOOKUP(C81,'Member Details (HOF Only)'!$A$2:$U$219,7,FALSE)</f>
        <v>#N/A</v>
      </c>
      <c r="O81" t="e">
        <f>VLOOKUP(H81,'Member Details (HOF Only)'!$A$2:$U$219,7,FALSE)</f>
        <v>#N/A</v>
      </c>
    </row>
    <row r="82" spans="1:15" x14ac:dyDescent="0.25">
      <c r="A82" s="40"/>
      <c r="B82" s="40"/>
      <c r="C82" s="40"/>
      <c r="D82" s="40"/>
      <c r="E82" s="40"/>
      <c r="F82" s="40"/>
      <c r="G82" s="40"/>
      <c r="H82" s="40"/>
      <c r="I82" s="40"/>
      <c r="J82" s="40"/>
      <c r="K82" s="40"/>
      <c r="L82" s="40"/>
      <c r="M82" s="40"/>
      <c r="N82" t="e">
        <f>VLOOKUP(C82,'Member Details (HOF Only)'!$A$2:$U$219,7,FALSE)</f>
        <v>#N/A</v>
      </c>
      <c r="O82" t="e">
        <f>VLOOKUP(H82,'Member Details (HOF Only)'!$A$2:$U$219,7,FALSE)</f>
        <v>#N/A</v>
      </c>
    </row>
    <row r="83" spans="1:15" x14ac:dyDescent="0.25">
      <c r="A83" s="40"/>
      <c r="B83" s="40"/>
      <c r="C83" s="40"/>
      <c r="D83" s="40"/>
      <c r="E83" s="40"/>
      <c r="F83" s="40"/>
      <c r="G83" s="40"/>
      <c r="H83" s="40"/>
      <c r="I83" s="40"/>
      <c r="J83" s="40"/>
      <c r="K83" s="40"/>
      <c r="L83" s="40"/>
      <c r="M83" s="40"/>
      <c r="N83" t="e">
        <f>VLOOKUP(C83,'Member Details (HOF Only)'!$A$2:$U$219,7,FALSE)</f>
        <v>#N/A</v>
      </c>
      <c r="O83" t="e">
        <f>VLOOKUP(H83,'Member Details (HOF Only)'!$A$2:$U$219,7,FALSE)</f>
        <v>#N/A</v>
      </c>
    </row>
    <row r="84" spans="1:15" x14ac:dyDescent="0.25">
      <c r="A84" s="40"/>
      <c r="B84" s="40"/>
      <c r="C84" s="40"/>
      <c r="D84" s="40"/>
      <c r="E84" s="40"/>
      <c r="F84" s="40"/>
      <c r="G84" s="40"/>
      <c r="H84" s="40"/>
      <c r="I84" s="40"/>
      <c r="J84" s="40"/>
      <c r="K84" s="40"/>
      <c r="L84" s="40"/>
      <c r="M84" s="40"/>
      <c r="N84" t="e">
        <f>VLOOKUP(C84,'Member Details (HOF Only)'!$A$2:$U$219,7,FALSE)</f>
        <v>#N/A</v>
      </c>
      <c r="O84" t="e">
        <f>VLOOKUP(H84,'Member Details (HOF Only)'!$A$2:$U$219,7,FALSE)</f>
        <v>#N/A</v>
      </c>
    </row>
    <row r="85" spans="1:15" x14ac:dyDescent="0.25">
      <c r="A85" s="40"/>
      <c r="B85" s="40"/>
      <c r="C85" s="40"/>
      <c r="D85" s="40"/>
      <c r="E85" s="40"/>
      <c r="F85" s="40"/>
      <c r="G85" s="40"/>
      <c r="H85" s="40"/>
      <c r="I85" s="40"/>
      <c r="J85" s="40"/>
      <c r="K85" s="40"/>
      <c r="L85" s="40"/>
      <c r="M85" s="40"/>
      <c r="N85" t="e">
        <f>VLOOKUP(C85,'Member Details (HOF Only)'!$A$2:$U$219,7,FALSE)</f>
        <v>#N/A</v>
      </c>
      <c r="O85" t="e">
        <f>VLOOKUP(H85,'Member Details (HOF Only)'!$A$2:$U$219,7,FALSE)</f>
        <v>#N/A</v>
      </c>
    </row>
    <row r="86" spans="1:15" x14ac:dyDescent="0.25">
      <c r="A86" s="40"/>
      <c r="B86" s="40"/>
      <c r="C86" s="40"/>
      <c r="D86" s="40"/>
      <c r="E86" s="40"/>
      <c r="F86" s="40"/>
      <c r="G86" s="40"/>
      <c r="H86" s="40"/>
      <c r="I86" s="40"/>
      <c r="J86" s="40"/>
      <c r="K86" s="40"/>
      <c r="L86" s="40"/>
      <c r="M86" s="40"/>
      <c r="N86" t="e">
        <f>VLOOKUP(C86,'Member Details (HOF Only)'!$A$2:$U$219,7,FALSE)</f>
        <v>#N/A</v>
      </c>
      <c r="O86" t="e">
        <f>VLOOKUP(H86,'Member Details (HOF Only)'!$A$2:$U$219,7,FALSE)</f>
        <v>#N/A</v>
      </c>
    </row>
    <row r="87" spans="1:15" x14ac:dyDescent="0.25">
      <c r="A87" s="40"/>
      <c r="B87" s="40"/>
      <c r="C87" s="40"/>
      <c r="D87" s="40"/>
      <c r="E87" s="40"/>
      <c r="F87" s="40"/>
      <c r="G87" s="40"/>
      <c r="H87" s="40"/>
      <c r="I87" s="40"/>
      <c r="J87" s="40"/>
      <c r="K87" s="40"/>
      <c r="L87" s="40"/>
      <c r="M87" s="40"/>
      <c r="N87" t="e">
        <f>VLOOKUP(C87,'Member Details (HOF Only)'!$A$2:$U$219,7,FALSE)</f>
        <v>#N/A</v>
      </c>
      <c r="O87" t="e">
        <f>VLOOKUP(H87,'Member Details (HOF Only)'!$A$2:$U$219,7,FALSE)</f>
        <v>#N/A</v>
      </c>
    </row>
    <row r="88" spans="1:15" x14ac:dyDescent="0.25">
      <c r="A88" s="40"/>
      <c r="B88" s="40"/>
      <c r="C88" s="40"/>
      <c r="D88" s="40"/>
      <c r="E88" s="40"/>
      <c r="F88" s="40"/>
      <c r="G88" s="40"/>
      <c r="H88" s="40"/>
      <c r="I88" s="40"/>
      <c r="J88" s="40"/>
      <c r="K88" s="40"/>
      <c r="L88" s="40"/>
      <c r="M88" s="40"/>
      <c r="N88" t="e">
        <f>VLOOKUP(C88,'Member Details (HOF Only)'!$A$2:$U$219,7,FALSE)</f>
        <v>#N/A</v>
      </c>
      <c r="O88" t="e">
        <f>VLOOKUP(H88,'Member Details (HOF Only)'!$A$2:$U$219,7,FALSE)</f>
        <v>#N/A</v>
      </c>
    </row>
    <row r="89" spans="1:15" x14ac:dyDescent="0.25">
      <c r="A89" s="40"/>
      <c r="B89" s="40"/>
      <c r="C89" s="40"/>
      <c r="D89" s="40"/>
      <c r="E89" s="40"/>
      <c r="F89" s="40"/>
      <c r="G89" s="40"/>
      <c r="H89" s="40"/>
      <c r="I89" s="40"/>
      <c r="J89" s="40"/>
      <c r="K89" s="40"/>
      <c r="L89" s="40"/>
      <c r="M89" s="40"/>
      <c r="N89" t="e">
        <f>VLOOKUP(C89,'Member Details (HOF Only)'!$A$2:$U$219,7,FALSE)</f>
        <v>#N/A</v>
      </c>
      <c r="O89" t="e">
        <f>VLOOKUP(H89,'Member Details (HOF Only)'!$A$2:$U$219,7,FALSE)</f>
        <v>#N/A</v>
      </c>
    </row>
    <row r="90" spans="1:15" x14ac:dyDescent="0.25">
      <c r="A90" s="40"/>
      <c r="B90" s="40"/>
      <c r="C90" s="40"/>
      <c r="D90" s="40"/>
      <c r="E90" s="40"/>
      <c r="F90" s="40"/>
      <c r="G90" s="40"/>
      <c r="H90" s="40"/>
      <c r="I90" s="40"/>
      <c r="J90" s="40"/>
      <c r="K90" s="40"/>
      <c r="L90" s="40"/>
      <c r="M90" s="40"/>
      <c r="N90" t="e">
        <f>VLOOKUP(C90,'Member Details (HOF Only)'!$A$2:$U$219,7,FALSE)</f>
        <v>#N/A</v>
      </c>
      <c r="O90" t="e">
        <f>VLOOKUP(H90,'Member Details (HOF Only)'!$A$2:$U$219,7,FALSE)</f>
        <v>#N/A</v>
      </c>
    </row>
    <row r="91" spans="1:15" x14ac:dyDescent="0.25">
      <c r="A91" s="40"/>
      <c r="B91" s="40"/>
      <c r="C91" s="40"/>
      <c r="D91" s="40"/>
      <c r="E91" s="40"/>
      <c r="F91" s="40"/>
      <c r="G91" s="40"/>
      <c r="H91" s="40"/>
      <c r="I91" s="40"/>
      <c r="J91" s="40"/>
      <c r="K91" s="40"/>
      <c r="L91" s="40"/>
      <c r="M91" s="40"/>
      <c r="N91" t="e">
        <f>VLOOKUP(C91,'Member Details (HOF Only)'!$A$2:$U$219,7,FALSE)</f>
        <v>#N/A</v>
      </c>
      <c r="O91" t="e">
        <f>VLOOKUP(H91,'Member Details (HOF Only)'!$A$2:$U$219,7,FALSE)</f>
        <v>#N/A</v>
      </c>
    </row>
    <row r="92" spans="1:15" x14ac:dyDescent="0.25">
      <c r="A92" s="40"/>
      <c r="B92" s="40"/>
      <c r="C92" s="40"/>
      <c r="D92" s="40"/>
      <c r="E92" s="40"/>
      <c r="F92" s="40"/>
      <c r="G92" s="40"/>
      <c r="H92" s="40"/>
      <c r="I92" s="40"/>
      <c r="J92" s="40"/>
      <c r="K92" s="40"/>
      <c r="L92" s="40"/>
      <c r="M92" s="40"/>
      <c r="N92" t="e">
        <f>VLOOKUP(C92,'Member Details (HOF Only)'!$A$2:$U$219,7,FALSE)</f>
        <v>#N/A</v>
      </c>
      <c r="O92" t="e">
        <f>VLOOKUP(H92,'Member Details (HOF Only)'!$A$2:$U$219,7,FALSE)</f>
        <v>#N/A</v>
      </c>
    </row>
    <row r="93" spans="1:15" x14ac:dyDescent="0.25">
      <c r="A93" s="40"/>
      <c r="B93" s="40"/>
      <c r="C93" s="40"/>
      <c r="D93" s="40"/>
      <c r="E93" s="40"/>
      <c r="F93" s="40"/>
      <c r="G93" s="40"/>
      <c r="H93" s="40"/>
      <c r="I93" s="40"/>
      <c r="J93" s="40"/>
      <c r="K93" s="40"/>
      <c r="L93" s="40"/>
      <c r="M93" s="40"/>
      <c r="N93" t="e">
        <f>VLOOKUP(C93,'Member Details (HOF Only)'!$A$2:$U$219,7,FALSE)</f>
        <v>#N/A</v>
      </c>
      <c r="O93" t="e">
        <f>VLOOKUP(H93,'Member Details (HOF Only)'!$A$2:$U$219,7,FALSE)</f>
        <v>#N/A</v>
      </c>
    </row>
    <row r="94" spans="1:15" x14ac:dyDescent="0.25">
      <c r="A94" s="40"/>
      <c r="B94" s="40"/>
      <c r="C94" s="40"/>
      <c r="D94" s="40"/>
      <c r="E94" s="40"/>
      <c r="F94" s="40"/>
      <c r="G94" s="40"/>
      <c r="H94" s="40"/>
      <c r="I94" s="40"/>
      <c r="J94" s="40"/>
      <c r="K94" s="40"/>
      <c r="L94" s="40"/>
      <c r="M94" s="40"/>
      <c r="N94" t="e">
        <f>VLOOKUP(C94,'Member Details (HOF Only)'!$A$2:$U$219,7,FALSE)</f>
        <v>#N/A</v>
      </c>
      <c r="O94" t="e">
        <f>VLOOKUP(H94,'Member Details (HOF Only)'!$A$2:$U$219,7,FALSE)</f>
        <v>#N/A</v>
      </c>
    </row>
    <row r="95" spans="1:15" x14ac:dyDescent="0.25">
      <c r="A95" s="40"/>
      <c r="B95" s="40"/>
      <c r="C95" s="40"/>
      <c r="D95" s="40"/>
      <c r="E95" s="40"/>
      <c r="F95" s="40"/>
      <c r="G95" s="40"/>
      <c r="H95" s="40"/>
      <c r="I95" s="40"/>
      <c r="J95" s="40"/>
      <c r="K95" s="40"/>
      <c r="L95" s="40"/>
      <c r="M95" s="40"/>
      <c r="N95" t="e">
        <f>VLOOKUP(C95,'Member Details (HOF Only)'!$A$2:$U$219,7,FALSE)</f>
        <v>#N/A</v>
      </c>
      <c r="O95" t="e">
        <f>VLOOKUP(H95,'Member Details (HOF Only)'!$A$2:$U$219,7,FALSE)</f>
        <v>#N/A</v>
      </c>
    </row>
    <row r="96" spans="1:15" x14ac:dyDescent="0.25">
      <c r="A96" s="40"/>
      <c r="B96" s="40"/>
      <c r="C96" s="40"/>
      <c r="D96" s="40"/>
      <c r="E96" s="40"/>
      <c r="F96" s="40"/>
      <c r="G96" s="40"/>
      <c r="H96" s="40"/>
      <c r="I96" s="40"/>
      <c r="J96" s="40"/>
      <c r="K96" s="40"/>
      <c r="L96" s="40"/>
      <c r="M96" s="40"/>
      <c r="N96" t="e">
        <f>VLOOKUP(C96,'Member Details (HOF Only)'!$A$2:$U$219,7,FALSE)</f>
        <v>#N/A</v>
      </c>
      <c r="O96" t="e">
        <f>VLOOKUP(H96,'Member Details (HOF Only)'!$A$2:$U$219,7,FALSE)</f>
        <v>#N/A</v>
      </c>
    </row>
    <row r="97" spans="1:15" x14ac:dyDescent="0.25">
      <c r="A97" s="40"/>
      <c r="B97" s="40"/>
      <c r="C97" s="40"/>
      <c r="D97" s="40"/>
      <c r="E97" s="40"/>
      <c r="F97" s="40"/>
      <c r="G97" s="40"/>
      <c r="H97" s="40"/>
      <c r="I97" s="40"/>
      <c r="J97" s="40"/>
      <c r="K97" s="40"/>
      <c r="L97" s="40"/>
      <c r="M97" s="40"/>
      <c r="N97" t="e">
        <f>VLOOKUP(C97,'Member Details (HOF Only)'!$A$2:$U$219,7,FALSE)</f>
        <v>#N/A</v>
      </c>
      <c r="O97" t="e">
        <f>VLOOKUP(H97,'Member Details (HOF Only)'!$A$2:$U$219,7,FALSE)</f>
        <v>#N/A</v>
      </c>
    </row>
    <row r="98" spans="1:15" x14ac:dyDescent="0.25">
      <c r="A98" s="40"/>
      <c r="B98" s="40"/>
      <c r="C98" s="40"/>
      <c r="D98" s="40"/>
      <c r="E98" s="40"/>
      <c r="F98" s="40"/>
      <c r="G98" s="40"/>
      <c r="H98" s="40"/>
      <c r="I98" s="40"/>
      <c r="J98" s="40"/>
      <c r="K98" s="40"/>
      <c r="L98" s="40"/>
      <c r="M98" s="40"/>
      <c r="N98" t="e">
        <f>VLOOKUP(C98,'Member Details (HOF Only)'!$A$2:$U$219,7,FALSE)</f>
        <v>#N/A</v>
      </c>
      <c r="O98" t="e">
        <f>VLOOKUP(H98,'Member Details (HOF Only)'!$A$2:$U$219,7,FALSE)</f>
        <v>#N/A</v>
      </c>
    </row>
    <row r="99" spans="1:15" x14ac:dyDescent="0.25">
      <c r="A99" s="40"/>
      <c r="B99" s="40"/>
      <c r="C99" s="40"/>
      <c r="D99" s="40"/>
      <c r="E99" s="40"/>
      <c r="F99" s="40"/>
      <c r="G99" s="40"/>
      <c r="H99" s="40"/>
      <c r="I99" s="40"/>
      <c r="J99" s="40"/>
      <c r="K99" s="40"/>
      <c r="L99" s="40"/>
      <c r="M99" s="40"/>
      <c r="N99" t="e">
        <f>VLOOKUP(C99,'Member Details (HOF Only)'!$A$2:$U$219,7,FALSE)</f>
        <v>#N/A</v>
      </c>
      <c r="O99" t="e">
        <f>VLOOKUP(H99,'Member Details (HOF Only)'!$A$2:$U$219,7,FALSE)</f>
        <v>#N/A</v>
      </c>
    </row>
    <row r="100" spans="1:15" x14ac:dyDescent="0.25">
      <c r="A100" s="40"/>
      <c r="B100" s="40"/>
      <c r="C100" s="40"/>
      <c r="D100" s="40"/>
      <c r="E100" s="40"/>
      <c r="F100" s="40"/>
      <c r="G100" s="40"/>
      <c r="H100" s="40"/>
      <c r="I100" s="40"/>
      <c r="J100" s="40"/>
      <c r="K100" s="40"/>
      <c r="L100" s="40"/>
      <c r="M100" s="40"/>
      <c r="N100" t="e">
        <f>VLOOKUP(C100,'Member Details (HOF Only)'!$A$2:$U$219,7,FALSE)</f>
        <v>#N/A</v>
      </c>
      <c r="O100" t="e">
        <f>VLOOKUP(H100,'Member Details (HOF Only)'!$A$2:$U$219,7,FALSE)</f>
        <v>#N/A</v>
      </c>
    </row>
    <row r="101" spans="1:15" x14ac:dyDescent="0.25">
      <c r="A101" s="40"/>
      <c r="B101" s="40"/>
      <c r="C101" s="40"/>
      <c r="D101" s="40"/>
      <c r="E101" s="40"/>
      <c r="F101" s="40"/>
      <c r="G101" s="40"/>
      <c r="H101" s="40"/>
      <c r="I101" s="40"/>
      <c r="J101" s="40"/>
      <c r="K101" s="40"/>
      <c r="L101" s="40"/>
      <c r="M101" s="40"/>
      <c r="N101" t="e">
        <f>VLOOKUP(C101,'Member Details (HOF Only)'!$A$2:$U$219,7,FALSE)</f>
        <v>#N/A</v>
      </c>
      <c r="O101" t="e">
        <f>VLOOKUP(H101,'Member Details (HOF Only)'!$A$2:$U$219,7,FALSE)</f>
        <v>#N/A</v>
      </c>
    </row>
    <row r="102" spans="1:15" x14ac:dyDescent="0.25">
      <c r="A102" s="40"/>
      <c r="B102" s="40"/>
      <c r="C102" s="40"/>
      <c r="D102" s="40"/>
      <c r="E102" s="40"/>
      <c r="F102" s="40"/>
      <c r="G102" s="40"/>
      <c r="H102" s="40"/>
      <c r="I102" s="40"/>
      <c r="J102" s="40"/>
      <c r="K102" s="40"/>
      <c r="L102" s="40"/>
      <c r="M102" s="40"/>
      <c r="N102" t="e">
        <f>VLOOKUP(C102,'Member Details (HOF Only)'!$A$2:$U$219,7,FALSE)</f>
        <v>#N/A</v>
      </c>
      <c r="O102" t="e">
        <f>VLOOKUP(H102,'Member Details (HOF Only)'!$A$2:$U$219,7,FALSE)</f>
        <v>#N/A</v>
      </c>
    </row>
    <row r="103" spans="1:15" x14ac:dyDescent="0.25">
      <c r="A103" s="40"/>
      <c r="B103" s="40"/>
      <c r="C103" s="40"/>
      <c r="D103" s="40"/>
      <c r="E103" s="40"/>
      <c r="F103" s="40"/>
      <c r="G103" s="40"/>
      <c r="H103" s="40"/>
      <c r="I103" s="40"/>
      <c r="J103" s="40"/>
      <c r="K103" s="40"/>
      <c r="L103" s="40"/>
      <c r="M103" s="40"/>
      <c r="N103" t="e">
        <f>VLOOKUP(C103,'Member Details (HOF Only)'!$A$2:$U$219,7,FALSE)</f>
        <v>#N/A</v>
      </c>
      <c r="O103" t="e">
        <f>VLOOKUP(H103,'Member Details (HOF Only)'!$A$2:$U$219,7,FALSE)</f>
        <v>#N/A</v>
      </c>
    </row>
    <row r="104" spans="1:15" x14ac:dyDescent="0.25">
      <c r="A104" s="40"/>
      <c r="B104" s="40"/>
      <c r="C104" s="40"/>
      <c r="D104" s="40"/>
      <c r="E104" s="40"/>
      <c r="F104" s="40"/>
      <c r="G104" s="40"/>
      <c r="H104" s="40"/>
      <c r="I104" s="40"/>
      <c r="J104" s="40"/>
      <c r="K104" s="40"/>
      <c r="L104" s="40"/>
      <c r="M104" s="40"/>
      <c r="N104" t="e">
        <f>VLOOKUP(C104,'Member Details (HOF Only)'!$A$2:$U$219,7,FALSE)</f>
        <v>#N/A</v>
      </c>
      <c r="O104" t="e">
        <f>VLOOKUP(H104,'Member Details (HOF Only)'!$A$2:$U$219,7,FALSE)</f>
        <v>#N/A</v>
      </c>
    </row>
    <row r="105" spans="1:15" x14ac:dyDescent="0.25">
      <c r="A105" s="40"/>
      <c r="B105" s="40"/>
      <c r="C105" s="40"/>
      <c r="D105" s="40"/>
      <c r="E105" s="40"/>
      <c r="F105" s="40"/>
      <c r="G105" s="40"/>
      <c r="H105" s="40"/>
      <c r="I105" s="40"/>
      <c r="J105" s="40"/>
      <c r="K105" s="40"/>
      <c r="L105" s="40"/>
      <c r="M105" s="40"/>
      <c r="N105" t="e">
        <f>VLOOKUP(C105,'Member Details (HOF Only)'!$A$2:$U$219,7,FALSE)</f>
        <v>#N/A</v>
      </c>
      <c r="O105" t="e">
        <f>VLOOKUP(H105,'Member Details (HOF Only)'!$A$2:$U$219,7,FALSE)</f>
        <v>#N/A</v>
      </c>
    </row>
    <row r="106" spans="1:15" x14ac:dyDescent="0.25">
      <c r="A106" s="40"/>
      <c r="B106" s="40"/>
      <c r="C106" s="40"/>
      <c r="D106" s="40"/>
      <c r="E106" s="40"/>
      <c r="F106" s="40"/>
      <c r="G106" s="40"/>
      <c r="H106" s="40"/>
      <c r="I106" s="40"/>
      <c r="J106" s="40"/>
      <c r="K106" s="40"/>
      <c r="L106" s="40"/>
      <c r="M106" s="40"/>
      <c r="N106" t="e">
        <f>VLOOKUP(C106,'Member Details (HOF Only)'!$A$2:$U$219,7,FALSE)</f>
        <v>#N/A</v>
      </c>
      <c r="O106" t="e">
        <f>VLOOKUP(H106,'Member Details (HOF Only)'!$A$2:$U$219,7,FALSE)</f>
        <v>#N/A</v>
      </c>
    </row>
    <row r="107" spans="1:15" x14ac:dyDescent="0.25">
      <c r="A107" s="40"/>
      <c r="B107" s="40"/>
      <c r="C107" s="40"/>
      <c r="D107" s="40"/>
      <c r="E107" s="40"/>
      <c r="F107" s="40"/>
      <c r="G107" s="40"/>
      <c r="H107" s="40"/>
      <c r="I107" s="40"/>
      <c r="J107" s="40"/>
      <c r="K107" s="40"/>
      <c r="L107" s="40"/>
      <c r="M107" s="40"/>
      <c r="N107" t="e">
        <f>VLOOKUP(C107,'Member Details (HOF Only)'!$A$2:$U$219,7,FALSE)</f>
        <v>#N/A</v>
      </c>
      <c r="O107" t="e">
        <f>VLOOKUP(H107,'Member Details (HOF Only)'!$A$2:$U$219,7,FALSE)</f>
        <v>#N/A</v>
      </c>
    </row>
    <row r="108" spans="1:15" x14ac:dyDescent="0.25">
      <c r="A108" s="40"/>
      <c r="B108" s="40"/>
      <c r="C108" s="40"/>
      <c r="D108" s="40"/>
      <c r="E108" s="40"/>
      <c r="F108" s="40"/>
      <c r="G108" s="40"/>
      <c r="H108" s="40"/>
      <c r="I108" s="40"/>
      <c r="J108" s="40"/>
      <c r="K108" s="40"/>
      <c r="L108" s="40"/>
      <c r="M108" s="40"/>
      <c r="N108" t="e">
        <f>VLOOKUP(C108,'Member Details (HOF Only)'!$A$2:$U$219,7,FALSE)</f>
        <v>#N/A</v>
      </c>
      <c r="O108" t="e">
        <f>VLOOKUP(H108,'Member Details (HOF Only)'!$A$2:$U$219,7,FALSE)</f>
        <v>#N/A</v>
      </c>
    </row>
    <row r="109" spans="1:15" x14ac:dyDescent="0.25">
      <c r="A109" s="40"/>
      <c r="B109" s="40"/>
      <c r="C109" s="40"/>
      <c r="D109" s="40"/>
      <c r="E109" s="40"/>
      <c r="F109" s="40"/>
      <c r="G109" s="40"/>
      <c r="H109" s="40"/>
      <c r="I109" s="40"/>
      <c r="J109" s="40"/>
      <c r="K109" s="40"/>
      <c r="L109" s="40"/>
      <c r="M109" s="40"/>
      <c r="N109" t="e">
        <f>VLOOKUP(C109,'Member Details (HOF Only)'!$A$2:$U$219,7,FALSE)</f>
        <v>#N/A</v>
      </c>
      <c r="O109" t="e">
        <f>VLOOKUP(H109,'Member Details (HOF Only)'!$A$2:$U$219,7,FALSE)</f>
        <v>#N/A</v>
      </c>
    </row>
    <row r="110" spans="1:15" x14ac:dyDescent="0.25">
      <c r="A110" s="40"/>
      <c r="B110" s="40"/>
      <c r="C110" s="40"/>
      <c r="D110" s="40"/>
      <c r="E110" s="40"/>
      <c r="F110" s="40"/>
      <c r="G110" s="40"/>
      <c r="H110" s="40"/>
      <c r="I110" s="40"/>
      <c r="J110" s="40"/>
      <c r="K110" s="40"/>
      <c r="L110" s="40"/>
      <c r="M110" s="40"/>
      <c r="N110" t="e">
        <f>VLOOKUP(C110,'Member Details (HOF Only)'!$A$2:$U$219,7,FALSE)</f>
        <v>#N/A</v>
      </c>
      <c r="O110" t="e">
        <f>VLOOKUP(H110,'Member Details (HOF Only)'!$A$2:$U$219,7,FALSE)</f>
        <v>#N/A</v>
      </c>
    </row>
    <row r="111" spans="1:15" x14ac:dyDescent="0.25">
      <c r="A111" s="40"/>
      <c r="B111" s="40"/>
      <c r="C111" s="40"/>
      <c r="D111" s="40"/>
      <c r="E111" s="40"/>
      <c r="F111" s="40"/>
      <c r="G111" s="40"/>
      <c r="H111" s="40"/>
      <c r="I111" s="40"/>
      <c r="J111" s="40"/>
      <c r="K111" s="40"/>
      <c r="L111" s="40"/>
      <c r="M111" s="40"/>
      <c r="N111" t="e">
        <f>VLOOKUP(C111,'Member Details (HOF Only)'!$A$2:$U$219,7,FALSE)</f>
        <v>#N/A</v>
      </c>
      <c r="O111" t="e">
        <f>VLOOKUP(H111,'Member Details (HOF Only)'!$A$2:$U$219,7,FALSE)</f>
        <v>#N/A</v>
      </c>
    </row>
    <row r="112" spans="1:15" x14ac:dyDescent="0.25">
      <c r="A112" s="40"/>
      <c r="B112" s="40"/>
      <c r="C112" s="40"/>
      <c r="D112" s="40"/>
      <c r="E112" s="40"/>
      <c r="F112" s="40"/>
      <c r="G112" s="40"/>
      <c r="H112" s="40"/>
      <c r="I112" s="40"/>
      <c r="J112" s="40"/>
      <c r="K112" s="40"/>
      <c r="L112" s="40"/>
      <c r="M112" s="40"/>
      <c r="N112" t="e">
        <f>VLOOKUP(C112,'Member Details (HOF Only)'!$A$2:$U$219,7,FALSE)</f>
        <v>#N/A</v>
      </c>
      <c r="O112" t="e">
        <f>VLOOKUP(H112,'Member Details (HOF Only)'!$A$2:$U$219,7,FALSE)</f>
        <v>#N/A</v>
      </c>
    </row>
    <row r="113" spans="1:15" x14ac:dyDescent="0.25">
      <c r="A113" s="40"/>
      <c r="B113" s="40"/>
      <c r="C113" s="40"/>
      <c r="D113" s="40"/>
      <c r="E113" s="40"/>
      <c r="F113" s="40"/>
      <c r="G113" s="40"/>
      <c r="H113" s="40"/>
      <c r="I113" s="40"/>
      <c r="J113" s="40"/>
      <c r="K113" s="40"/>
      <c r="L113" s="40"/>
      <c r="M113" s="40"/>
      <c r="N113" t="e">
        <f>VLOOKUP(C113,'Member Details (HOF Only)'!$A$2:$U$219,7,FALSE)</f>
        <v>#N/A</v>
      </c>
      <c r="O113" t="e">
        <f>VLOOKUP(H113,'Member Details (HOF Only)'!$A$2:$U$219,7,FALSE)</f>
        <v>#N/A</v>
      </c>
    </row>
    <row r="114" spans="1:15" x14ac:dyDescent="0.25">
      <c r="A114" s="40"/>
      <c r="B114" s="40"/>
      <c r="C114" s="40"/>
      <c r="D114" s="40"/>
      <c r="E114" s="40"/>
      <c r="F114" s="40"/>
      <c r="G114" s="40"/>
      <c r="H114" s="40"/>
      <c r="I114" s="40"/>
      <c r="J114" s="40"/>
      <c r="K114" s="40"/>
      <c r="L114" s="40"/>
      <c r="M114" s="40"/>
      <c r="N114" t="e">
        <f>VLOOKUP(C114,'Member Details (HOF Only)'!$A$2:$U$219,7,FALSE)</f>
        <v>#N/A</v>
      </c>
      <c r="O114" t="e">
        <f>VLOOKUP(H114,'Member Details (HOF Only)'!$A$2:$U$219,7,FALSE)</f>
        <v>#N/A</v>
      </c>
    </row>
    <row r="115" spans="1:15" x14ac:dyDescent="0.25">
      <c r="A115" s="40"/>
      <c r="B115" s="40"/>
      <c r="C115" s="40"/>
      <c r="D115" s="40"/>
      <c r="E115" s="40"/>
      <c r="F115" s="40"/>
      <c r="G115" s="40"/>
      <c r="H115" s="40"/>
      <c r="I115" s="40"/>
      <c r="J115" s="40"/>
      <c r="K115" s="40"/>
      <c r="L115" s="40"/>
      <c r="M115" s="40"/>
      <c r="N115" t="e">
        <f>VLOOKUP(C115,'Member Details (HOF Only)'!$A$2:$U$219,7,FALSE)</f>
        <v>#N/A</v>
      </c>
      <c r="O115" t="e">
        <f>VLOOKUP(H115,'Member Details (HOF Only)'!$A$2:$U$219,7,FALSE)</f>
        <v>#N/A</v>
      </c>
    </row>
    <row r="116" spans="1:15" x14ac:dyDescent="0.25">
      <c r="A116" s="40"/>
      <c r="B116" s="40"/>
      <c r="C116" s="40"/>
      <c r="D116" s="40"/>
      <c r="E116" s="40"/>
      <c r="F116" s="40"/>
      <c r="G116" s="40"/>
      <c r="H116" s="40"/>
      <c r="I116" s="40"/>
      <c r="J116" s="40"/>
      <c r="K116" s="40"/>
      <c r="L116" s="40"/>
      <c r="M116" s="40"/>
      <c r="N116" t="e">
        <f>VLOOKUP(C116,'Member Details (HOF Only)'!$A$2:$U$219,7,FALSE)</f>
        <v>#N/A</v>
      </c>
      <c r="O116" t="e">
        <f>VLOOKUP(H116,'Member Details (HOF Only)'!$A$2:$U$219,7,FALSE)</f>
        <v>#N/A</v>
      </c>
    </row>
    <row r="117" spans="1:15" x14ac:dyDescent="0.25">
      <c r="A117" s="40"/>
      <c r="B117" s="40"/>
      <c r="C117" s="40"/>
      <c r="D117" s="40"/>
      <c r="E117" s="40"/>
      <c r="F117" s="40"/>
      <c r="G117" s="40"/>
      <c r="H117" s="40"/>
      <c r="I117" s="40"/>
      <c r="J117" s="40"/>
      <c r="K117" s="40"/>
      <c r="L117" s="40"/>
      <c r="M117" s="40"/>
      <c r="N117" t="e">
        <f>VLOOKUP(C117,'Member Details (HOF Only)'!$A$2:$U$219,7,FALSE)</f>
        <v>#N/A</v>
      </c>
      <c r="O117" t="e">
        <f>VLOOKUP(H117,'Member Details (HOF Only)'!$A$2:$U$219,7,FALSE)</f>
        <v>#N/A</v>
      </c>
    </row>
    <row r="118" spans="1:15" x14ac:dyDescent="0.25">
      <c r="A118" s="40"/>
      <c r="B118" s="40"/>
      <c r="C118" s="40"/>
      <c r="D118" s="40"/>
      <c r="E118" s="40"/>
      <c r="F118" s="40"/>
      <c r="G118" s="40"/>
      <c r="H118" s="40"/>
      <c r="I118" s="40"/>
      <c r="J118" s="40"/>
      <c r="K118" s="40"/>
      <c r="L118" s="40"/>
      <c r="M118" s="40"/>
      <c r="N118" t="e">
        <f>VLOOKUP(C118,'Member Details (HOF Only)'!$A$2:$U$219,7,FALSE)</f>
        <v>#N/A</v>
      </c>
      <c r="O118" t="e">
        <f>VLOOKUP(H118,'Member Details (HOF Only)'!$A$2:$U$219,7,FALSE)</f>
        <v>#N/A</v>
      </c>
    </row>
    <row r="119" spans="1:15" x14ac:dyDescent="0.25">
      <c r="A119" s="40"/>
      <c r="B119" s="40"/>
      <c r="C119" s="40"/>
      <c r="D119" s="40"/>
      <c r="E119" s="40"/>
      <c r="F119" s="40"/>
      <c r="G119" s="40"/>
      <c r="H119" s="40"/>
      <c r="I119" s="40"/>
      <c r="J119" s="40"/>
      <c r="K119" s="40"/>
      <c r="L119" s="40"/>
      <c r="M119" s="40"/>
      <c r="N119" t="e">
        <f>VLOOKUP(C119,'Member Details (HOF Only)'!$A$2:$U$219,7,FALSE)</f>
        <v>#N/A</v>
      </c>
      <c r="O119" t="e">
        <f>VLOOKUP(H119,'Member Details (HOF Only)'!$A$2:$U$219,7,FALSE)</f>
        <v>#N/A</v>
      </c>
    </row>
    <row r="120" spans="1:15" x14ac:dyDescent="0.25">
      <c r="A120" s="40"/>
      <c r="B120" s="40"/>
      <c r="C120" s="40"/>
      <c r="D120" s="40"/>
      <c r="E120" s="40"/>
      <c r="F120" s="40"/>
      <c r="G120" s="40"/>
      <c r="H120" s="40"/>
      <c r="I120" s="40"/>
      <c r="J120" s="40"/>
      <c r="K120" s="40"/>
      <c r="L120" s="40"/>
      <c r="M120" s="40"/>
      <c r="N120" t="e">
        <f>VLOOKUP(C120,'Member Details (HOF Only)'!$A$2:$U$219,7,FALSE)</f>
        <v>#N/A</v>
      </c>
      <c r="O120" t="e">
        <f>VLOOKUP(H120,'Member Details (HOF Only)'!$A$2:$U$219,7,FALSE)</f>
        <v>#N/A</v>
      </c>
    </row>
    <row r="121" spans="1:15" x14ac:dyDescent="0.25">
      <c r="A121" s="40"/>
      <c r="B121" s="40"/>
      <c r="C121" s="40"/>
      <c r="D121" s="40"/>
      <c r="E121" s="40"/>
      <c r="F121" s="40"/>
      <c r="G121" s="40"/>
      <c r="H121" s="40"/>
      <c r="I121" s="40"/>
      <c r="J121" s="40"/>
      <c r="K121" s="40"/>
      <c r="L121" s="40"/>
      <c r="M121" s="40"/>
      <c r="N121" t="e">
        <f>VLOOKUP(C121,'Member Details (HOF Only)'!$A$2:$U$219,7,FALSE)</f>
        <v>#N/A</v>
      </c>
      <c r="O121" t="e">
        <f>VLOOKUP(H121,'Member Details (HOF Only)'!$A$2:$U$219,7,FALSE)</f>
        <v>#N/A</v>
      </c>
    </row>
    <row r="122" spans="1:15" x14ac:dyDescent="0.25">
      <c r="A122" s="40"/>
      <c r="B122" s="40"/>
      <c r="C122" s="40"/>
      <c r="D122" s="40"/>
      <c r="E122" s="40"/>
      <c r="F122" s="40"/>
      <c r="G122" s="40"/>
      <c r="H122" s="40"/>
      <c r="I122" s="40"/>
      <c r="J122" s="40"/>
      <c r="K122" s="40"/>
      <c r="L122" s="40"/>
      <c r="M122" s="40"/>
      <c r="N122" t="e">
        <f>VLOOKUP(C122,'Member Details (HOF Only)'!$A$2:$U$219,7,FALSE)</f>
        <v>#N/A</v>
      </c>
      <c r="O122" t="e">
        <f>VLOOKUP(H122,'Member Details (HOF Only)'!$A$2:$U$219,7,FALSE)</f>
        <v>#N/A</v>
      </c>
    </row>
    <row r="123" spans="1:15" x14ac:dyDescent="0.25">
      <c r="A123" s="40"/>
      <c r="B123" s="40"/>
      <c r="C123" s="40"/>
      <c r="D123" s="40"/>
      <c r="E123" s="40"/>
      <c r="F123" s="40"/>
      <c r="G123" s="40"/>
      <c r="H123" s="40"/>
      <c r="I123" s="40"/>
      <c r="J123" s="40"/>
      <c r="K123" s="40"/>
      <c r="L123" s="40"/>
      <c r="M123" s="40"/>
      <c r="N123" t="e">
        <f>VLOOKUP(C123,'Member Details (HOF Only)'!$A$2:$U$219,7,FALSE)</f>
        <v>#N/A</v>
      </c>
      <c r="O123" t="e">
        <f>VLOOKUP(H123,'Member Details (HOF Only)'!$A$2:$U$219,7,FALSE)</f>
        <v>#N/A</v>
      </c>
    </row>
    <row r="124" spans="1:15" x14ac:dyDescent="0.25">
      <c r="A124" s="40"/>
      <c r="B124" s="40"/>
      <c r="C124" s="40"/>
      <c r="D124" s="40"/>
      <c r="E124" s="40"/>
      <c r="F124" s="40"/>
      <c r="G124" s="40"/>
      <c r="H124" s="40"/>
      <c r="I124" s="40"/>
      <c r="J124" s="40"/>
      <c r="K124" s="40"/>
      <c r="L124" s="40"/>
      <c r="M124" s="40"/>
      <c r="N124" t="e">
        <f>VLOOKUP(C124,'Member Details (HOF Only)'!$A$2:$U$219,7,FALSE)</f>
        <v>#N/A</v>
      </c>
      <c r="O124" t="e">
        <f>VLOOKUP(H124,'Member Details (HOF Only)'!$A$2:$U$219,7,FALSE)</f>
        <v>#N/A</v>
      </c>
    </row>
    <row r="125" spans="1:15" x14ac:dyDescent="0.25">
      <c r="A125" s="40"/>
      <c r="B125" s="40"/>
      <c r="C125" s="40"/>
      <c r="D125" s="40"/>
      <c r="E125" s="40"/>
      <c r="F125" s="40"/>
      <c r="G125" s="40"/>
      <c r="H125" s="40"/>
      <c r="I125" s="40"/>
      <c r="J125" s="40"/>
      <c r="K125" s="40"/>
      <c r="L125" s="40"/>
      <c r="M125" s="40"/>
      <c r="N125" t="e">
        <f>VLOOKUP(C125,'Member Details (HOF Only)'!$A$2:$U$219,7,FALSE)</f>
        <v>#N/A</v>
      </c>
      <c r="O125" t="e">
        <f>VLOOKUP(H125,'Member Details (HOF Only)'!$A$2:$U$219,7,FALSE)</f>
        <v>#N/A</v>
      </c>
    </row>
    <row r="126" spans="1:15" x14ac:dyDescent="0.25">
      <c r="A126" s="40"/>
      <c r="B126" s="40"/>
      <c r="C126" s="40"/>
      <c r="D126" s="40"/>
      <c r="E126" s="40"/>
      <c r="F126" s="40"/>
      <c r="G126" s="40"/>
      <c r="H126" s="40"/>
      <c r="I126" s="40"/>
      <c r="J126" s="40"/>
      <c r="K126" s="40"/>
      <c r="L126" s="40"/>
      <c r="M126" s="40"/>
      <c r="N126" t="e">
        <f>VLOOKUP(C126,'Member Details (HOF Only)'!$A$2:$U$219,7,FALSE)</f>
        <v>#N/A</v>
      </c>
      <c r="O126" t="e">
        <f>VLOOKUP(H126,'Member Details (HOF Only)'!$A$2:$U$219,7,FALSE)</f>
        <v>#N/A</v>
      </c>
    </row>
    <row r="127" spans="1:15" x14ac:dyDescent="0.25">
      <c r="A127" s="40"/>
      <c r="B127" s="40"/>
      <c r="C127" s="40"/>
      <c r="D127" s="40"/>
      <c r="E127" s="40"/>
      <c r="F127" s="40"/>
      <c r="G127" s="40"/>
      <c r="H127" s="40"/>
      <c r="I127" s="40"/>
      <c r="J127" s="40"/>
      <c r="K127" s="40"/>
      <c r="L127" s="40"/>
      <c r="M127" s="40"/>
      <c r="N127" t="e">
        <f>VLOOKUP(C127,'Member Details (HOF Only)'!$A$2:$U$219,7,FALSE)</f>
        <v>#N/A</v>
      </c>
      <c r="O127" t="e">
        <f>VLOOKUP(H127,'Member Details (HOF Only)'!$A$2:$U$219,7,FALSE)</f>
        <v>#N/A</v>
      </c>
    </row>
    <row r="128" spans="1:15" x14ac:dyDescent="0.25">
      <c r="A128" s="40"/>
      <c r="B128" s="40"/>
      <c r="C128" s="40"/>
      <c r="D128" s="40"/>
      <c r="E128" s="40"/>
      <c r="F128" s="40"/>
      <c r="G128" s="40"/>
      <c r="H128" s="40"/>
      <c r="I128" s="40"/>
      <c r="J128" s="40"/>
      <c r="K128" s="40"/>
      <c r="L128" s="40"/>
      <c r="M128" s="40"/>
      <c r="N128" t="e">
        <f>VLOOKUP(C128,'Member Details (HOF Only)'!$A$2:$U$219,7,FALSE)</f>
        <v>#N/A</v>
      </c>
      <c r="O128" t="e">
        <f>VLOOKUP(H128,'Member Details (HOF Only)'!$A$2:$U$219,7,FALSE)</f>
        <v>#N/A</v>
      </c>
    </row>
    <row r="129" spans="1:15" x14ac:dyDescent="0.25">
      <c r="A129" s="40"/>
      <c r="B129" s="40"/>
      <c r="C129" s="40"/>
      <c r="D129" s="40"/>
      <c r="E129" s="40"/>
      <c r="F129" s="40"/>
      <c r="G129" s="40"/>
      <c r="H129" s="40"/>
      <c r="I129" s="40"/>
      <c r="J129" s="40"/>
      <c r="K129" s="40"/>
      <c r="L129" s="40"/>
      <c r="M129" s="40"/>
      <c r="N129" t="e">
        <f>VLOOKUP(C129,'Member Details (HOF Only)'!$A$2:$U$219,7,FALSE)</f>
        <v>#N/A</v>
      </c>
      <c r="O129" t="e">
        <f>VLOOKUP(H129,'Member Details (HOF Only)'!$A$2:$U$219,7,FALSE)</f>
        <v>#N/A</v>
      </c>
    </row>
    <row r="130" spans="1:15" x14ac:dyDescent="0.25">
      <c r="A130" s="40"/>
      <c r="B130" s="40"/>
      <c r="C130" s="40"/>
      <c r="D130" s="40"/>
      <c r="E130" s="40"/>
      <c r="F130" s="40"/>
      <c r="G130" s="40"/>
      <c r="H130" s="40"/>
      <c r="I130" s="40"/>
      <c r="J130" s="40"/>
      <c r="K130" s="40"/>
      <c r="L130" s="40"/>
      <c r="M130" s="40"/>
      <c r="N130" t="e">
        <f>VLOOKUP(C130,'Member Details (HOF Only)'!$A$2:$U$219,7,FALSE)</f>
        <v>#N/A</v>
      </c>
      <c r="O130" t="e">
        <f>VLOOKUP(H130,'Member Details (HOF Only)'!$A$2:$U$219,7,FALSE)</f>
        <v>#N/A</v>
      </c>
    </row>
    <row r="131" spans="1:15" x14ac:dyDescent="0.25">
      <c r="A131" s="40"/>
      <c r="B131" s="40"/>
      <c r="C131" s="40"/>
      <c r="D131" s="40"/>
      <c r="E131" s="40"/>
      <c r="F131" s="40"/>
      <c r="G131" s="40"/>
      <c r="H131" s="40"/>
      <c r="I131" s="40"/>
      <c r="J131" s="40"/>
      <c r="K131" s="40"/>
      <c r="L131" s="40"/>
      <c r="M131" s="40"/>
      <c r="N131" t="e">
        <f>VLOOKUP(C131,'Member Details (HOF Only)'!$A$2:$U$219,7,FALSE)</f>
        <v>#N/A</v>
      </c>
      <c r="O131" t="e">
        <f>VLOOKUP(H131,'Member Details (HOF Only)'!$A$2:$U$219,7,FALSE)</f>
        <v>#N/A</v>
      </c>
    </row>
    <row r="132" spans="1:15" x14ac:dyDescent="0.25">
      <c r="A132" s="40"/>
      <c r="B132" s="40"/>
      <c r="C132" s="40"/>
      <c r="D132" s="40"/>
      <c r="E132" s="40"/>
      <c r="F132" s="40"/>
      <c r="G132" s="40"/>
      <c r="H132" s="40"/>
      <c r="I132" s="40"/>
      <c r="J132" s="40"/>
      <c r="K132" s="40"/>
      <c r="L132" s="40"/>
      <c r="M132" s="40"/>
      <c r="N132" t="e">
        <f>VLOOKUP(C132,'Member Details (HOF Only)'!$A$2:$U$219,7,FALSE)</f>
        <v>#N/A</v>
      </c>
      <c r="O132" t="e">
        <f>VLOOKUP(H132,'Member Details (HOF Only)'!$A$2:$U$219,7,FALSE)</f>
        <v>#N/A</v>
      </c>
    </row>
    <row r="133" spans="1:15" x14ac:dyDescent="0.25">
      <c r="A133" s="40"/>
      <c r="B133" s="40"/>
      <c r="C133" s="40"/>
      <c r="D133" s="40"/>
      <c r="E133" s="40"/>
      <c r="F133" s="40"/>
      <c r="G133" s="40"/>
      <c r="H133" s="40"/>
      <c r="I133" s="40"/>
      <c r="J133" s="40"/>
      <c r="K133" s="40"/>
      <c r="L133" s="40"/>
      <c r="M133" s="40"/>
      <c r="N133" t="e">
        <f>VLOOKUP(C133,'Member Details (HOF Only)'!$A$2:$U$219,7,FALSE)</f>
        <v>#N/A</v>
      </c>
      <c r="O133" t="e">
        <f>VLOOKUP(H133,'Member Details (HOF Only)'!$A$2:$U$219,7,FALSE)</f>
        <v>#N/A</v>
      </c>
    </row>
    <row r="134" spans="1:15" x14ac:dyDescent="0.25">
      <c r="A134" s="40"/>
      <c r="B134" s="40"/>
      <c r="C134" s="40"/>
      <c r="D134" s="40"/>
      <c r="E134" s="40"/>
      <c r="F134" s="40"/>
      <c r="G134" s="40"/>
      <c r="H134" s="40"/>
      <c r="I134" s="40"/>
      <c r="J134" s="40"/>
      <c r="K134" s="40"/>
      <c r="L134" s="40"/>
      <c r="M134" s="40"/>
      <c r="N134" t="e">
        <f>VLOOKUP(C134,'Member Details (HOF Only)'!$A$2:$U$219,7,FALSE)</f>
        <v>#N/A</v>
      </c>
      <c r="O134" t="e">
        <f>VLOOKUP(H134,'Member Details (HOF Only)'!$A$2:$U$219,7,FALSE)</f>
        <v>#N/A</v>
      </c>
    </row>
    <row r="135" spans="1:15" x14ac:dyDescent="0.25">
      <c r="A135" s="40"/>
      <c r="B135" s="40"/>
      <c r="C135" s="40"/>
      <c r="D135" s="40"/>
      <c r="E135" s="40"/>
      <c r="F135" s="40"/>
      <c r="G135" s="40"/>
      <c r="H135" s="40"/>
      <c r="I135" s="40"/>
      <c r="J135" s="40"/>
      <c r="K135" s="40"/>
      <c r="L135" s="40"/>
      <c r="M135" s="40"/>
      <c r="N135" t="e">
        <f>VLOOKUP(C135,'Member Details (HOF Only)'!$A$2:$U$219,7,FALSE)</f>
        <v>#N/A</v>
      </c>
      <c r="O135" t="e">
        <f>VLOOKUP(H135,'Member Details (HOF Only)'!$A$2:$U$219,7,FALSE)</f>
        <v>#N/A</v>
      </c>
    </row>
    <row r="136" spans="1:15" x14ac:dyDescent="0.25">
      <c r="A136" s="40"/>
      <c r="B136" s="40"/>
      <c r="C136" s="40"/>
      <c r="D136" s="40"/>
      <c r="E136" s="40"/>
      <c r="F136" s="40"/>
      <c r="G136" s="40"/>
      <c r="H136" s="40"/>
      <c r="I136" s="40"/>
      <c r="J136" s="40"/>
      <c r="K136" s="40"/>
      <c r="L136" s="40"/>
      <c r="M136" s="40"/>
      <c r="N136" t="e">
        <f>VLOOKUP(C136,'Member Details (HOF Only)'!$A$2:$U$219,7,FALSE)</f>
        <v>#N/A</v>
      </c>
      <c r="O136" t="e">
        <f>VLOOKUP(H136,'Member Details (HOF Only)'!$A$2:$U$219,7,FALSE)</f>
        <v>#N/A</v>
      </c>
    </row>
    <row r="137" spans="1:15" x14ac:dyDescent="0.25">
      <c r="A137" s="40"/>
      <c r="B137" s="40"/>
      <c r="C137" s="40"/>
      <c r="D137" s="40"/>
      <c r="E137" s="40"/>
      <c r="F137" s="40"/>
      <c r="G137" s="40"/>
      <c r="H137" s="40"/>
      <c r="I137" s="40"/>
      <c r="J137" s="40"/>
      <c r="K137" s="40"/>
      <c r="L137" s="40"/>
      <c r="M137" s="40"/>
      <c r="N137" t="e">
        <f>VLOOKUP(C137,'Member Details (HOF Only)'!$A$2:$U$219,7,FALSE)</f>
        <v>#N/A</v>
      </c>
      <c r="O137" t="e">
        <f>VLOOKUP(H137,'Member Details (HOF Only)'!$A$2:$U$219,7,FALSE)</f>
        <v>#N/A</v>
      </c>
    </row>
    <row r="138" spans="1:15" x14ac:dyDescent="0.25">
      <c r="A138" s="40"/>
      <c r="B138" s="40"/>
      <c r="C138" s="40"/>
      <c r="D138" s="40"/>
      <c r="E138" s="40"/>
      <c r="F138" s="40"/>
      <c r="G138" s="40"/>
      <c r="H138" s="40"/>
      <c r="I138" s="40"/>
      <c r="J138" s="40"/>
      <c r="K138" s="40"/>
      <c r="L138" s="40"/>
      <c r="M138" s="40"/>
      <c r="N138" t="e">
        <f>VLOOKUP(C138,'Member Details (HOF Only)'!$A$2:$U$219,7,FALSE)</f>
        <v>#N/A</v>
      </c>
      <c r="O138" t="e">
        <f>VLOOKUP(H138,'Member Details (HOF Only)'!$A$2:$U$219,7,FALSE)</f>
        <v>#N/A</v>
      </c>
    </row>
    <row r="139" spans="1:15" x14ac:dyDescent="0.25">
      <c r="A139" s="40"/>
      <c r="B139" s="40"/>
      <c r="C139" s="40"/>
      <c r="D139" s="40"/>
      <c r="E139" s="40"/>
      <c r="F139" s="40"/>
      <c r="G139" s="40"/>
      <c r="H139" s="40"/>
      <c r="I139" s="40"/>
      <c r="J139" s="40"/>
      <c r="K139" s="40"/>
      <c r="L139" s="40"/>
      <c r="M139" s="40"/>
      <c r="N139" t="e">
        <f>VLOOKUP(C139,'Member Details (HOF Only)'!$A$2:$U$219,7,FALSE)</f>
        <v>#N/A</v>
      </c>
      <c r="O139" t="e">
        <f>VLOOKUP(H139,'Member Details (HOF Only)'!$A$2:$U$219,7,FALSE)</f>
        <v>#N/A</v>
      </c>
    </row>
    <row r="140" spans="1:15" x14ac:dyDescent="0.25">
      <c r="A140" s="40"/>
      <c r="B140" s="40"/>
      <c r="C140" s="40"/>
      <c r="D140" s="40"/>
      <c r="E140" s="40"/>
      <c r="F140" s="40"/>
      <c r="G140" s="40"/>
      <c r="H140" s="40"/>
      <c r="I140" s="40"/>
      <c r="J140" s="40"/>
      <c r="K140" s="40"/>
      <c r="L140" s="40"/>
      <c r="M140" s="40"/>
      <c r="N140" t="e">
        <f>VLOOKUP(C140,'Member Details (HOF Only)'!$A$2:$U$219,7,FALSE)</f>
        <v>#N/A</v>
      </c>
      <c r="O140" t="e">
        <f>VLOOKUP(H140,'Member Details (HOF Only)'!$A$2:$U$219,7,FALSE)</f>
        <v>#N/A</v>
      </c>
    </row>
    <row r="141" spans="1:15" x14ac:dyDescent="0.25">
      <c r="A141" s="40"/>
      <c r="B141" s="40"/>
      <c r="C141" s="40"/>
      <c r="D141" s="40"/>
      <c r="E141" s="40"/>
      <c r="F141" s="40"/>
      <c r="G141" s="40"/>
      <c r="H141" s="40"/>
      <c r="I141" s="40"/>
      <c r="J141" s="40"/>
      <c r="K141" s="40"/>
      <c r="L141" s="40"/>
      <c r="M141" s="40"/>
      <c r="N141" t="e">
        <f>VLOOKUP(C141,'Member Details (HOF Only)'!$A$2:$U$219,7,FALSE)</f>
        <v>#N/A</v>
      </c>
      <c r="O141" t="e">
        <f>VLOOKUP(H141,'Member Details (HOF Only)'!$A$2:$U$219,7,FALSE)</f>
        <v>#N/A</v>
      </c>
    </row>
    <row r="142" spans="1:15" x14ac:dyDescent="0.25">
      <c r="A142" s="40"/>
      <c r="B142" s="40"/>
      <c r="C142" s="40"/>
      <c r="D142" s="40"/>
      <c r="E142" s="40"/>
      <c r="F142" s="40"/>
      <c r="G142" s="40"/>
      <c r="H142" s="40"/>
      <c r="I142" s="40"/>
      <c r="J142" s="40"/>
      <c r="K142" s="40"/>
      <c r="L142" s="40"/>
      <c r="M142" s="40"/>
      <c r="N142" t="e">
        <f>VLOOKUP(C142,'Member Details (HOF Only)'!$A$2:$U$219,7,FALSE)</f>
        <v>#N/A</v>
      </c>
      <c r="O142" t="e">
        <f>VLOOKUP(H142,'Member Details (HOF Only)'!$A$2:$U$219,7,FALSE)</f>
        <v>#N/A</v>
      </c>
    </row>
    <row r="143" spans="1:15" x14ac:dyDescent="0.25">
      <c r="A143" s="40"/>
      <c r="B143" s="40"/>
      <c r="C143" s="40"/>
      <c r="D143" s="40"/>
      <c r="E143" s="40"/>
      <c r="F143" s="40"/>
      <c r="G143" s="40"/>
      <c r="H143" s="40"/>
      <c r="I143" s="40"/>
      <c r="J143" s="40"/>
      <c r="K143" s="40"/>
      <c r="L143" s="40"/>
      <c r="M143" s="40"/>
      <c r="N143" t="e">
        <f>VLOOKUP(C143,'Member Details (HOF Only)'!$A$2:$U$219,7,FALSE)</f>
        <v>#N/A</v>
      </c>
      <c r="O143" t="e">
        <f>VLOOKUP(H143,'Member Details (HOF Only)'!$A$2:$U$219,7,FALSE)</f>
        <v>#N/A</v>
      </c>
    </row>
    <row r="144" spans="1:15" x14ac:dyDescent="0.25">
      <c r="A144" s="40"/>
      <c r="B144" s="40"/>
      <c r="C144" s="40"/>
      <c r="D144" s="40"/>
      <c r="E144" s="40"/>
      <c r="F144" s="40"/>
      <c r="G144" s="40"/>
      <c r="H144" s="40"/>
      <c r="I144" s="40"/>
      <c r="J144" s="40"/>
      <c r="K144" s="40"/>
      <c r="L144" s="40"/>
      <c r="M144" s="40"/>
      <c r="N144" t="e">
        <f>VLOOKUP(C144,'Member Details (HOF Only)'!$A$2:$U$219,7,FALSE)</f>
        <v>#N/A</v>
      </c>
      <c r="O144" t="e">
        <f>VLOOKUP(H144,'Member Details (HOF Only)'!$A$2:$U$219,7,FALSE)</f>
        <v>#N/A</v>
      </c>
    </row>
    <row r="145" spans="1:15" x14ac:dyDescent="0.25">
      <c r="A145" s="40"/>
      <c r="B145" s="40"/>
      <c r="C145" s="40"/>
      <c r="D145" s="40"/>
      <c r="E145" s="40"/>
      <c r="F145" s="40"/>
      <c r="G145" s="40"/>
      <c r="H145" s="40"/>
      <c r="I145" s="40"/>
      <c r="J145" s="40"/>
      <c r="K145" s="40"/>
      <c r="L145" s="40"/>
      <c r="M145" s="40"/>
      <c r="N145" t="e">
        <f>VLOOKUP(C145,'Member Details (HOF Only)'!$A$2:$U$219,7,FALSE)</f>
        <v>#N/A</v>
      </c>
      <c r="O145" t="e">
        <f>VLOOKUP(H145,'Member Details (HOF Only)'!$A$2:$U$219,7,FALSE)</f>
        <v>#N/A</v>
      </c>
    </row>
    <row r="146" spans="1:15" x14ac:dyDescent="0.25">
      <c r="A146" s="40"/>
      <c r="B146" s="40"/>
      <c r="C146" s="40"/>
      <c r="D146" s="40"/>
      <c r="E146" s="40"/>
      <c r="F146" s="40"/>
      <c r="G146" s="40"/>
      <c r="H146" s="40"/>
      <c r="I146" s="40"/>
      <c r="J146" s="40"/>
      <c r="K146" s="40"/>
      <c r="L146" s="40"/>
      <c r="M146" s="40"/>
      <c r="N146" t="e">
        <f>VLOOKUP(C146,'Member Details (HOF Only)'!$A$2:$U$219,7,FALSE)</f>
        <v>#N/A</v>
      </c>
      <c r="O146" t="e">
        <f>VLOOKUP(H146,'Member Details (HOF Only)'!$A$2:$U$219,7,FALSE)</f>
        <v>#N/A</v>
      </c>
    </row>
    <row r="147" spans="1:15" x14ac:dyDescent="0.25">
      <c r="A147" s="40"/>
      <c r="B147" s="40"/>
      <c r="C147" s="40"/>
      <c r="D147" s="40"/>
      <c r="E147" s="40"/>
      <c r="F147" s="40"/>
      <c r="G147" s="40"/>
      <c r="H147" s="40"/>
      <c r="I147" s="40"/>
      <c r="J147" s="40"/>
      <c r="K147" s="40"/>
      <c r="L147" s="40"/>
      <c r="M147" s="40"/>
      <c r="N147" t="e">
        <f>VLOOKUP(C147,'Member Details (HOF Only)'!$A$2:$U$219,7,FALSE)</f>
        <v>#N/A</v>
      </c>
      <c r="O147" t="e">
        <f>VLOOKUP(H147,'Member Details (HOF Only)'!$A$2:$U$219,7,FALSE)</f>
        <v>#N/A</v>
      </c>
    </row>
    <row r="148" spans="1:15" x14ac:dyDescent="0.25">
      <c r="A148" s="40"/>
      <c r="B148" s="40"/>
      <c r="C148" s="40"/>
      <c r="D148" s="40"/>
      <c r="E148" s="40"/>
      <c r="F148" s="40"/>
      <c r="G148" s="40"/>
      <c r="H148" s="40"/>
      <c r="I148" s="40"/>
      <c r="J148" s="40"/>
      <c r="K148" s="40"/>
      <c r="L148" s="40"/>
      <c r="M148" s="40"/>
      <c r="N148" t="e">
        <f>VLOOKUP(C148,'Member Details (HOF Only)'!$A$2:$U$219,7,FALSE)</f>
        <v>#N/A</v>
      </c>
      <c r="O148" t="e">
        <f>VLOOKUP(H148,'Member Details (HOF Only)'!$A$2:$U$219,7,FALSE)</f>
        <v>#N/A</v>
      </c>
    </row>
    <row r="149" spans="1:15" x14ac:dyDescent="0.25">
      <c r="A149" s="40"/>
      <c r="B149" s="40"/>
      <c r="C149" s="40"/>
      <c r="D149" s="40"/>
      <c r="E149" s="40"/>
      <c r="F149" s="40"/>
      <c r="G149" s="40"/>
      <c r="H149" s="40"/>
      <c r="I149" s="40"/>
      <c r="J149" s="40"/>
      <c r="K149" s="40"/>
      <c r="L149" s="40"/>
      <c r="M149" s="40"/>
      <c r="N149" t="e">
        <f>VLOOKUP(C149,'Member Details (HOF Only)'!$A$2:$U$219,7,FALSE)</f>
        <v>#N/A</v>
      </c>
      <c r="O149" t="e">
        <f>VLOOKUP(H149,'Member Details (HOF Only)'!$A$2:$U$219,7,FALSE)</f>
        <v>#N/A</v>
      </c>
    </row>
    <row r="150" spans="1:15" x14ac:dyDescent="0.25">
      <c r="A150" s="40"/>
      <c r="B150" s="40"/>
      <c r="C150" s="40"/>
      <c r="D150" s="40"/>
      <c r="E150" s="40"/>
      <c r="F150" s="40"/>
      <c r="G150" s="40"/>
      <c r="H150" s="40"/>
      <c r="I150" s="40"/>
      <c r="J150" s="40"/>
      <c r="K150" s="40"/>
      <c r="L150" s="40"/>
      <c r="M150" s="40"/>
      <c r="N150" t="e">
        <f>VLOOKUP(C150,'Member Details (HOF Only)'!$A$2:$U$219,7,FALSE)</f>
        <v>#N/A</v>
      </c>
      <c r="O150" t="e">
        <f>VLOOKUP(H150,'Member Details (HOF Only)'!$A$2:$U$219,7,FALSE)</f>
        <v>#N/A</v>
      </c>
    </row>
    <row r="151" spans="1:15" x14ac:dyDescent="0.25">
      <c r="A151" s="40"/>
      <c r="B151" s="40"/>
      <c r="C151" s="40"/>
      <c r="D151" s="40"/>
      <c r="E151" s="40"/>
      <c r="F151" s="40"/>
      <c r="G151" s="40"/>
      <c r="H151" s="40"/>
      <c r="I151" s="40"/>
      <c r="J151" s="40"/>
      <c r="K151" s="40"/>
      <c r="L151" s="40"/>
      <c r="M151" s="40"/>
      <c r="N151" t="e">
        <f>VLOOKUP(C151,'Member Details (HOF Only)'!$A$2:$U$219,7,FALSE)</f>
        <v>#N/A</v>
      </c>
      <c r="O151" t="e">
        <f>VLOOKUP(H151,'Member Details (HOF Only)'!$A$2:$U$219,7,FALSE)</f>
        <v>#N/A</v>
      </c>
    </row>
    <row r="152" spans="1:15" x14ac:dyDescent="0.25">
      <c r="A152" s="40"/>
      <c r="B152" s="40"/>
      <c r="C152" s="40"/>
      <c r="D152" s="40"/>
      <c r="E152" s="40"/>
      <c r="F152" s="40"/>
      <c r="G152" s="40"/>
      <c r="H152" s="40"/>
      <c r="I152" s="40"/>
      <c r="J152" s="40"/>
      <c r="K152" s="40"/>
      <c r="L152" s="40"/>
      <c r="M152" s="40"/>
      <c r="N152" t="e">
        <f>VLOOKUP(C152,'Member Details (HOF Only)'!$A$2:$U$219,7,FALSE)</f>
        <v>#N/A</v>
      </c>
      <c r="O152" t="e">
        <f>VLOOKUP(H152,'Member Details (HOF Only)'!$A$2:$U$219,7,FALSE)</f>
        <v>#N/A</v>
      </c>
    </row>
    <row r="153" spans="1:15" x14ac:dyDescent="0.25">
      <c r="A153" s="40"/>
      <c r="B153" s="40"/>
      <c r="C153" s="40"/>
      <c r="D153" s="40"/>
      <c r="E153" s="40"/>
      <c r="F153" s="40"/>
      <c r="G153" s="40"/>
      <c r="H153" s="40"/>
      <c r="I153" s="40"/>
      <c r="J153" s="40"/>
      <c r="K153" s="40"/>
      <c r="L153" s="40"/>
      <c r="M153" s="40"/>
      <c r="N153" t="e">
        <f>VLOOKUP(C153,'Member Details (HOF Only)'!$A$2:$U$219,7,FALSE)</f>
        <v>#N/A</v>
      </c>
      <c r="O153" t="e">
        <f>VLOOKUP(H153,'Member Details (HOF Only)'!$A$2:$U$219,7,FALSE)</f>
        <v>#N/A</v>
      </c>
    </row>
    <row r="154" spans="1:15" x14ac:dyDescent="0.25">
      <c r="A154" s="40"/>
      <c r="B154" s="40"/>
      <c r="C154" s="40"/>
      <c r="D154" s="40"/>
      <c r="E154" s="40"/>
      <c r="F154" s="40"/>
      <c r="G154" s="40"/>
      <c r="H154" s="40"/>
      <c r="I154" s="40"/>
      <c r="J154" s="40"/>
      <c r="K154" s="40"/>
      <c r="L154" s="40"/>
      <c r="M154" s="40"/>
      <c r="N154" t="e">
        <f>VLOOKUP(C154,'Member Details (HOF Only)'!$A$2:$U$219,7,FALSE)</f>
        <v>#N/A</v>
      </c>
      <c r="O154" t="e">
        <f>VLOOKUP(H154,'Member Details (HOF Only)'!$A$2:$U$219,7,FALSE)</f>
        <v>#N/A</v>
      </c>
    </row>
    <row r="155" spans="1:15" x14ac:dyDescent="0.25">
      <c r="A155" s="40"/>
      <c r="B155" s="40"/>
      <c r="C155" s="40"/>
      <c r="D155" s="40"/>
      <c r="E155" s="40"/>
      <c r="F155" s="40"/>
      <c r="G155" s="40"/>
      <c r="H155" s="40"/>
      <c r="I155" s="40"/>
      <c r="J155" s="40"/>
      <c r="K155" s="40"/>
      <c r="L155" s="40"/>
      <c r="M155" s="40"/>
      <c r="N155" t="e">
        <f>VLOOKUP(C155,'Member Details (HOF Only)'!$A$2:$U$219,7,FALSE)</f>
        <v>#N/A</v>
      </c>
      <c r="O155" t="e">
        <f>VLOOKUP(H155,'Member Details (HOF Only)'!$A$2:$U$219,7,FALSE)</f>
        <v>#N/A</v>
      </c>
    </row>
    <row r="156" spans="1:15" x14ac:dyDescent="0.25">
      <c r="A156" s="40"/>
      <c r="B156" s="40"/>
      <c r="C156" s="40"/>
      <c r="D156" s="40"/>
      <c r="E156" s="40"/>
      <c r="F156" s="40"/>
      <c r="G156" s="40"/>
      <c r="H156" s="40"/>
      <c r="I156" s="40"/>
      <c r="J156" s="40"/>
      <c r="K156" s="40"/>
      <c r="L156" s="40"/>
      <c r="M156" s="40"/>
      <c r="N156" t="e">
        <f>VLOOKUP(C156,'Member Details (HOF Only)'!$A$2:$U$219,7,FALSE)</f>
        <v>#N/A</v>
      </c>
      <c r="O156" t="e">
        <f>VLOOKUP(H156,'Member Details (HOF Only)'!$A$2:$U$219,7,FALSE)</f>
        <v>#N/A</v>
      </c>
    </row>
    <row r="157" spans="1:15" x14ac:dyDescent="0.25">
      <c r="A157" s="40"/>
      <c r="B157" s="40"/>
      <c r="C157" s="40"/>
      <c r="D157" s="40"/>
      <c r="E157" s="40"/>
      <c r="F157" s="40"/>
      <c r="G157" s="40"/>
      <c r="H157" s="40"/>
      <c r="I157" s="40"/>
      <c r="J157" s="40"/>
      <c r="K157" s="40"/>
      <c r="L157" s="40"/>
      <c r="M157" s="40"/>
      <c r="N157" t="e">
        <f>VLOOKUP(C157,'Member Details (HOF Only)'!$A$2:$U$219,7,FALSE)</f>
        <v>#N/A</v>
      </c>
      <c r="O157" t="e">
        <f>VLOOKUP(H157,'Member Details (HOF Only)'!$A$2:$U$219,7,FALSE)</f>
        <v>#N/A</v>
      </c>
    </row>
    <row r="158" spans="1:15" x14ac:dyDescent="0.25">
      <c r="A158" s="40"/>
      <c r="B158" s="40"/>
      <c r="C158" s="40"/>
      <c r="D158" s="40"/>
      <c r="E158" s="40"/>
      <c r="F158" s="40"/>
      <c r="G158" s="40"/>
      <c r="H158" s="40"/>
      <c r="I158" s="40"/>
      <c r="J158" s="40"/>
      <c r="K158" s="40"/>
      <c r="L158" s="40"/>
      <c r="M158" s="40"/>
      <c r="N158" t="e">
        <f>VLOOKUP(C158,'Member Details (HOF Only)'!$A$2:$U$219,7,FALSE)</f>
        <v>#N/A</v>
      </c>
      <c r="O158" t="e">
        <f>VLOOKUP(H158,'Member Details (HOF Only)'!$A$2:$U$219,7,FALSE)</f>
        <v>#N/A</v>
      </c>
    </row>
    <row r="159" spans="1:15" x14ac:dyDescent="0.25">
      <c r="A159" s="40"/>
      <c r="B159" s="40"/>
      <c r="C159" s="40"/>
      <c r="D159" s="40"/>
      <c r="E159" s="40"/>
      <c r="F159" s="40"/>
      <c r="G159" s="40"/>
      <c r="H159" s="40"/>
      <c r="I159" s="40"/>
      <c r="J159" s="40"/>
      <c r="K159" s="40"/>
      <c r="L159" s="40"/>
      <c r="M159" s="40"/>
      <c r="N159" t="e">
        <f>VLOOKUP(C159,'Member Details (HOF Only)'!$A$2:$U$219,7,FALSE)</f>
        <v>#N/A</v>
      </c>
      <c r="O159" t="e">
        <f>VLOOKUP(H159,'Member Details (HOF Only)'!$A$2:$U$219,7,FALSE)</f>
        <v>#N/A</v>
      </c>
    </row>
    <row r="160" spans="1:15" x14ac:dyDescent="0.25">
      <c r="A160" s="40"/>
      <c r="B160" s="40"/>
      <c r="C160" s="40"/>
      <c r="D160" s="40"/>
      <c r="E160" s="40"/>
      <c r="F160" s="40"/>
      <c r="G160" s="40"/>
      <c r="H160" s="40"/>
      <c r="I160" s="40"/>
      <c r="J160" s="40"/>
      <c r="K160" s="40"/>
      <c r="L160" s="40"/>
      <c r="M160" s="40"/>
      <c r="N160" t="e">
        <f>VLOOKUP(C160,'Member Details (HOF Only)'!$A$2:$U$219,7,FALSE)</f>
        <v>#N/A</v>
      </c>
      <c r="O160" t="e">
        <f>VLOOKUP(H160,'Member Details (HOF Only)'!$A$2:$U$219,7,FALSE)</f>
        <v>#N/A</v>
      </c>
    </row>
    <row r="161" spans="1:15" x14ac:dyDescent="0.25">
      <c r="A161" s="40"/>
      <c r="B161" s="40"/>
      <c r="C161" s="40"/>
      <c r="D161" s="40"/>
      <c r="E161" s="40"/>
      <c r="F161" s="40"/>
      <c r="G161" s="40"/>
      <c r="H161" s="40"/>
      <c r="I161" s="40"/>
      <c r="J161" s="40"/>
      <c r="K161" s="40"/>
      <c r="L161" s="40"/>
      <c r="M161" s="40"/>
      <c r="N161" t="e">
        <f>VLOOKUP(C161,'Member Details (HOF Only)'!$A$2:$U$219,7,FALSE)</f>
        <v>#N/A</v>
      </c>
      <c r="O161" t="e">
        <f>VLOOKUP(H161,'Member Details (HOF Only)'!$A$2:$U$219,7,FALSE)</f>
        <v>#N/A</v>
      </c>
    </row>
    <row r="162" spans="1:15" x14ac:dyDescent="0.25">
      <c r="A162" s="40"/>
      <c r="B162" s="40"/>
      <c r="C162" s="40"/>
      <c r="D162" s="40"/>
      <c r="E162" s="40"/>
      <c r="F162" s="40"/>
      <c r="G162" s="40"/>
      <c r="H162" s="40"/>
      <c r="I162" s="40"/>
      <c r="J162" s="40"/>
      <c r="K162" s="40"/>
      <c r="L162" s="40"/>
      <c r="M162" s="40"/>
      <c r="N162" t="e">
        <f>VLOOKUP(C162,'Member Details (HOF Only)'!$A$2:$U$219,7,FALSE)</f>
        <v>#N/A</v>
      </c>
      <c r="O162" t="e">
        <f>VLOOKUP(H162,'Member Details (HOF Only)'!$A$2:$U$219,7,FALSE)</f>
        <v>#N/A</v>
      </c>
    </row>
    <row r="163" spans="1:15" x14ac:dyDescent="0.25">
      <c r="A163" s="40"/>
      <c r="B163" s="40"/>
      <c r="C163" s="40"/>
      <c r="D163" s="40"/>
      <c r="E163" s="40"/>
      <c r="F163" s="40"/>
      <c r="G163" s="40"/>
      <c r="H163" s="40"/>
      <c r="I163" s="40"/>
      <c r="J163" s="40"/>
      <c r="K163" s="40"/>
      <c r="L163" s="40"/>
      <c r="M163" s="40"/>
      <c r="N163" t="e">
        <f>VLOOKUP(C163,'Member Details (HOF Only)'!$A$2:$U$219,7,FALSE)</f>
        <v>#N/A</v>
      </c>
      <c r="O163" t="e">
        <f>VLOOKUP(H163,'Member Details (HOF Only)'!$A$2:$U$219,7,FALSE)</f>
        <v>#N/A</v>
      </c>
    </row>
    <row r="164" spans="1:15" x14ac:dyDescent="0.25">
      <c r="A164" s="40"/>
      <c r="B164" s="40"/>
      <c r="C164" s="40"/>
      <c r="D164" s="40"/>
      <c r="E164" s="40"/>
      <c r="F164" s="40"/>
      <c r="G164" s="40"/>
      <c r="H164" s="40"/>
      <c r="I164" s="40"/>
      <c r="J164" s="40"/>
      <c r="K164" s="40"/>
      <c r="L164" s="40"/>
      <c r="M164" s="40"/>
      <c r="N164" t="e">
        <f>VLOOKUP(C164,'Member Details (HOF Only)'!$A$2:$U$219,7,FALSE)</f>
        <v>#N/A</v>
      </c>
      <c r="O164" t="e">
        <f>VLOOKUP(H164,'Member Details (HOF Only)'!$A$2:$U$219,7,FALSE)</f>
        <v>#N/A</v>
      </c>
    </row>
    <row r="165" spans="1:15" x14ac:dyDescent="0.25">
      <c r="A165" s="40"/>
      <c r="B165" s="40"/>
      <c r="C165" s="40"/>
      <c r="D165" s="40"/>
      <c r="E165" s="40"/>
      <c r="F165" s="40"/>
      <c r="G165" s="40"/>
      <c r="H165" s="40"/>
      <c r="I165" s="40"/>
      <c r="J165" s="40"/>
      <c r="K165" s="40"/>
      <c r="L165" s="40"/>
      <c r="M165" s="40"/>
      <c r="N165" t="e">
        <f>VLOOKUP(C165,'Member Details (HOF Only)'!$A$2:$U$219,7,FALSE)</f>
        <v>#N/A</v>
      </c>
      <c r="O165" t="e">
        <f>VLOOKUP(H165,'Member Details (HOF Only)'!$A$2:$U$219,7,FALSE)</f>
        <v>#N/A</v>
      </c>
    </row>
    <row r="166" spans="1:15" x14ac:dyDescent="0.25">
      <c r="A166" s="40"/>
      <c r="B166" s="40"/>
      <c r="C166" s="40"/>
      <c r="D166" s="40"/>
      <c r="E166" s="40"/>
      <c r="F166" s="40"/>
      <c r="G166" s="40"/>
      <c r="H166" s="40"/>
      <c r="I166" s="40"/>
      <c r="J166" s="40"/>
      <c r="K166" s="40"/>
      <c r="L166" s="40"/>
      <c r="M166" s="40"/>
      <c r="N166" t="e">
        <f>VLOOKUP(C166,'Member Details (HOF Only)'!$A$2:$U$219,7,FALSE)</f>
        <v>#N/A</v>
      </c>
      <c r="O166" t="e">
        <f>VLOOKUP(H166,'Member Details (HOF Only)'!$A$2:$U$219,7,FALSE)</f>
        <v>#N/A</v>
      </c>
    </row>
    <row r="167" spans="1:15" x14ac:dyDescent="0.25">
      <c r="A167" s="40"/>
      <c r="B167" s="40"/>
      <c r="C167" s="40"/>
      <c r="D167" s="40"/>
      <c r="E167" s="40"/>
      <c r="F167" s="40"/>
      <c r="G167" s="40"/>
      <c r="H167" s="40"/>
      <c r="I167" s="40"/>
      <c r="J167" s="40"/>
      <c r="K167" s="40"/>
      <c r="L167" s="40"/>
      <c r="M167" s="40"/>
      <c r="N167" t="e">
        <f>VLOOKUP(C167,'Member Details (HOF Only)'!$A$2:$U$219,7,FALSE)</f>
        <v>#N/A</v>
      </c>
      <c r="O167" t="e">
        <f>VLOOKUP(H167,'Member Details (HOF Only)'!$A$2:$U$219,7,FALSE)</f>
        <v>#N/A</v>
      </c>
    </row>
    <row r="168" spans="1:15" x14ac:dyDescent="0.25">
      <c r="A168" s="40"/>
      <c r="B168" s="40"/>
      <c r="C168" s="40"/>
      <c r="D168" s="40"/>
      <c r="E168" s="40"/>
      <c r="F168" s="40"/>
      <c r="G168" s="40"/>
      <c r="H168" s="40"/>
      <c r="I168" s="40"/>
      <c r="J168" s="40"/>
      <c r="K168" s="40"/>
      <c r="L168" s="40"/>
      <c r="M168" s="40"/>
      <c r="N168" t="e">
        <f>VLOOKUP(C168,'Member Details (HOF Only)'!$A$2:$U$219,7,FALSE)</f>
        <v>#N/A</v>
      </c>
      <c r="O168" t="e">
        <f>VLOOKUP(H168,'Member Details (HOF Only)'!$A$2:$U$219,7,FALSE)</f>
        <v>#N/A</v>
      </c>
    </row>
    <row r="169" spans="1:15" x14ac:dyDescent="0.25">
      <c r="A169" s="40"/>
      <c r="B169" s="40"/>
      <c r="C169" s="40"/>
      <c r="D169" s="40"/>
      <c r="E169" s="40"/>
      <c r="F169" s="40"/>
      <c r="G169" s="40"/>
      <c r="H169" s="40"/>
      <c r="I169" s="40"/>
      <c r="J169" s="40"/>
      <c r="K169" s="40"/>
      <c r="L169" s="40"/>
      <c r="M169" s="40"/>
      <c r="N169" t="e">
        <f>VLOOKUP(C169,'Member Details (HOF Only)'!$A$2:$U$219,7,FALSE)</f>
        <v>#N/A</v>
      </c>
      <c r="O169" t="e">
        <f>VLOOKUP(H169,'Member Details (HOF Only)'!$A$2:$U$219,7,FALSE)</f>
        <v>#N/A</v>
      </c>
    </row>
    <row r="170" spans="1:15" x14ac:dyDescent="0.25">
      <c r="A170" s="40"/>
      <c r="B170" s="40"/>
      <c r="C170" s="40"/>
      <c r="D170" s="40"/>
      <c r="E170" s="40"/>
      <c r="F170" s="40"/>
      <c r="G170" s="40"/>
      <c r="H170" s="40"/>
      <c r="I170" s="40"/>
      <c r="J170" s="40"/>
      <c r="K170" s="40"/>
      <c r="L170" s="40"/>
      <c r="M170" s="40"/>
      <c r="N170" t="e">
        <f>VLOOKUP(C170,'Member Details (HOF Only)'!$A$2:$U$219,7,FALSE)</f>
        <v>#N/A</v>
      </c>
      <c r="O170" t="e">
        <f>VLOOKUP(H170,'Member Details (HOF Only)'!$A$2:$U$219,7,FALSE)</f>
        <v>#N/A</v>
      </c>
    </row>
    <row r="171" spans="1:15" x14ac:dyDescent="0.25">
      <c r="A171" s="40"/>
      <c r="B171" s="40"/>
      <c r="C171" s="40"/>
      <c r="D171" s="40"/>
      <c r="E171" s="40"/>
      <c r="F171" s="40"/>
      <c r="G171" s="40"/>
      <c r="H171" s="40"/>
      <c r="I171" s="40"/>
      <c r="J171" s="40"/>
      <c r="K171" s="40"/>
      <c r="L171" s="40"/>
      <c r="M171" s="40"/>
      <c r="N171" t="e">
        <f>VLOOKUP(C171,'Member Details (HOF Only)'!$A$2:$U$219,7,FALSE)</f>
        <v>#N/A</v>
      </c>
      <c r="O171" t="e">
        <f>VLOOKUP(H171,'Member Details (HOF Only)'!$A$2:$U$219,7,FALSE)</f>
        <v>#N/A</v>
      </c>
    </row>
    <row r="172" spans="1:15" x14ac:dyDescent="0.25">
      <c r="A172" s="40"/>
      <c r="B172" s="40"/>
      <c r="C172" s="40"/>
      <c r="D172" s="40"/>
      <c r="E172" s="40"/>
      <c r="F172" s="40"/>
      <c r="G172" s="40"/>
      <c r="H172" s="40"/>
      <c r="I172" s="40"/>
      <c r="J172" s="40"/>
      <c r="K172" s="40"/>
      <c r="L172" s="40"/>
      <c r="M172" s="40"/>
      <c r="N172" t="e">
        <f>VLOOKUP(C172,'Member Details (HOF Only)'!$A$2:$U$219,7,FALSE)</f>
        <v>#N/A</v>
      </c>
      <c r="O172" t="e">
        <f>VLOOKUP(H172,'Member Details (HOF Only)'!$A$2:$U$219,7,FALSE)</f>
        <v>#N/A</v>
      </c>
    </row>
    <row r="173" spans="1:15" x14ac:dyDescent="0.25">
      <c r="A173" s="40"/>
      <c r="B173" s="40"/>
      <c r="C173" s="40"/>
      <c r="D173" s="40"/>
      <c r="E173" s="40"/>
      <c r="F173" s="40"/>
      <c r="G173" s="40"/>
      <c r="H173" s="40"/>
      <c r="I173" s="40"/>
      <c r="J173" s="40"/>
      <c r="K173" s="40"/>
      <c r="L173" s="40"/>
      <c r="M173" s="40"/>
      <c r="N173" t="e">
        <f>VLOOKUP(C173,'Member Details (HOF Only)'!$A$2:$U$219,7,FALSE)</f>
        <v>#N/A</v>
      </c>
      <c r="O173" t="e">
        <f>VLOOKUP(H173,'Member Details (HOF Only)'!$A$2:$U$219,7,FALSE)</f>
        <v>#N/A</v>
      </c>
    </row>
    <row r="174" spans="1:15" x14ac:dyDescent="0.25">
      <c r="A174" s="40"/>
      <c r="B174" s="40"/>
      <c r="C174" s="40"/>
      <c r="D174" s="40"/>
      <c r="E174" s="40"/>
      <c r="F174" s="40"/>
      <c r="G174" s="40"/>
      <c r="H174" s="40"/>
      <c r="I174" s="40"/>
      <c r="J174" s="40"/>
      <c r="K174" s="40"/>
      <c r="L174" s="40"/>
      <c r="M174" s="40"/>
      <c r="N174" t="e">
        <f>VLOOKUP(C174,'Member Details (HOF Only)'!$A$2:$U$219,7,FALSE)</f>
        <v>#N/A</v>
      </c>
      <c r="O174" t="e">
        <f>VLOOKUP(H174,'Member Details (HOF Only)'!$A$2:$U$219,7,FALSE)</f>
        <v>#N/A</v>
      </c>
    </row>
    <row r="175" spans="1:15" x14ac:dyDescent="0.25">
      <c r="A175" s="40"/>
      <c r="B175" s="40"/>
      <c r="C175" s="40"/>
      <c r="D175" s="40"/>
      <c r="E175" s="40"/>
      <c r="F175" s="40"/>
      <c r="G175" s="40"/>
      <c r="H175" s="40"/>
      <c r="I175" s="40"/>
      <c r="J175" s="40"/>
      <c r="K175" s="40"/>
      <c r="L175" s="40"/>
      <c r="M175" s="40"/>
      <c r="N175" t="e">
        <f>VLOOKUP(C175,'Member Details (HOF Only)'!$A$2:$U$219,7,FALSE)</f>
        <v>#N/A</v>
      </c>
      <c r="O175" t="e">
        <f>VLOOKUP(H175,'Member Details (HOF Only)'!$A$2:$U$219,7,FALSE)</f>
        <v>#N/A</v>
      </c>
    </row>
    <row r="176" spans="1:15" x14ac:dyDescent="0.25">
      <c r="A176" s="40"/>
      <c r="B176" s="40"/>
      <c r="C176" s="40"/>
      <c r="D176" s="40"/>
      <c r="E176" s="40"/>
      <c r="F176" s="40"/>
      <c r="G176" s="40"/>
      <c r="H176" s="40"/>
      <c r="I176" s="40"/>
      <c r="J176" s="40"/>
      <c r="K176" s="40"/>
      <c r="L176" s="40"/>
      <c r="M176" s="40"/>
      <c r="N176" t="e">
        <f>VLOOKUP(C176,'Member Details (HOF Only)'!$A$2:$U$219,7,FALSE)</f>
        <v>#N/A</v>
      </c>
      <c r="O176" t="e">
        <f>VLOOKUP(H176,'Member Details (HOF Only)'!$A$2:$U$219,7,FALSE)</f>
        <v>#N/A</v>
      </c>
    </row>
    <row r="177" spans="1:15" x14ac:dyDescent="0.25">
      <c r="A177" s="40"/>
      <c r="B177" s="40"/>
      <c r="C177" s="40"/>
      <c r="D177" s="40"/>
      <c r="E177" s="40"/>
      <c r="F177" s="40"/>
      <c r="G177" s="40"/>
      <c r="H177" s="40"/>
      <c r="I177" s="40"/>
      <c r="J177" s="40"/>
      <c r="K177" s="40"/>
      <c r="L177" s="40"/>
      <c r="M177" s="40"/>
      <c r="N177" t="e">
        <f>VLOOKUP(C177,'Member Details (HOF Only)'!$A$2:$U$219,7,FALSE)</f>
        <v>#N/A</v>
      </c>
      <c r="O177" t="e">
        <f>VLOOKUP(H177,'Member Details (HOF Only)'!$A$2:$U$219,7,FALSE)</f>
        <v>#N/A</v>
      </c>
    </row>
    <row r="178" spans="1:15" x14ac:dyDescent="0.25">
      <c r="A178" s="40"/>
      <c r="B178" s="40"/>
      <c r="C178" s="40"/>
      <c r="D178" s="40"/>
      <c r="E178" s="40"/>
      <c r="F178" s="40"/>
      <c r="G178" s="40"/>
      <c r="H178" s="40"/>
      <c r="I178" s="40"/>
      <c r="J178" s="40"/>
      <c r="K178" s="40"/>
      <c r="L178" s="40"/>
      <c r="M178" s="40"/>
      <c r="N178" t="e">
        <f>VLOOKUP(C178,'Member Details (HOF Only)'!$A$2:$U$219,7,FALSE)</f>
        <v>#N/A</v>
      </c>
      <c r="O178" t="e">
        <f>VLOOKUP(H178,'Member Details (HOF Only)'!$A$2:$U$219,7,FALSE)</f>
        <v>#N/A</v>
      </c>
    </row>
    <row r="179" spans="1:15" x14ac:dyDescent="0.25">
      <c r="A179" s="40"/>
      <c r="B179" s="40"/>
      <c r="C179" s="40"/>
      <c r="D179" s="40"/>
      <c r="E179" s="40"/>
      <c r="F179" s="40"/>
      <c r="G179" s="40"/>
      <c r="H179" s="40"/>
      <c r="I179" s="40"/>
      <c r="J179" s="40"/>
      <c r="K179" s="40"/>
      <c r="L179" s="40"/>
      <c r="M179" s="40"/>
      <c r="N179" t="e">
        <f>VLOOKUP(C179,'Member Details (HOF Only)'!$A$2:$U$219,7,FALSE)</f>
        <v>#N/A</v>
      </c>
      <c r="O179" t="e">
        <f>VLOOKUP(H179,'Member Details (HOF Only)'!$A$2:$U$219,7,FALSE)</f>
        <v>#N/A</v>
      </c>
    </row>
    <row r="180" spans="1:15" x14ac:dyDescent="0.25">
      <c r="A180" s="40"/>
      <c r="B180" s="40"/>
      <c r="C180" s="40"/>
      <c r="D180" s="40"/>
      <c r="E180" s="40"/>
      <c r="F180" s="40"/>
      <c r="G180" s="40"/>
      <c r="H180" s="40"/>
      <c r="I180" s="40"/>
      <c r="J180" s="40"/>
      <c r="K180" s="40"/>
      <c r="L180" s="40"/>
      <c r="M180" s="40"/>
      <c r="N180" t="e">
        <f>VLOOKUP(C180,'Member Details (HOF Only)'!$A$2:$U$219,7,FALSE)</f>
        <v>#N/A</v>
      </c>
      <c r="O180" t="e">
        <f>VLOOKUP(H180,'Member Details (HOF Only)'!$A$2:$U$219,7,FALSE)</f>
        <v>#N/A</v>
      </c>
    </row>
    <row r="181" spans="1:15" x14ac:dyDescent="0.25">
      <c r="A181" s="40"/>
      <c r="B181" s="40"/>
      <c r="C181" s="40"/>
      <c r="D181" s="40"/>
      <c r="E181" s="40"/>
      <c r="F181" s="40"/>
      <c r="G181" s="40"/>
      <c r="H181" s="40"/>
      <c r="I181" s="40"/>
      <c r="J181" s="40"/>
      <c r="K181" s="40"/>
      <c r="L181" s="40"/>
      <c r="M181" s="40"/>
      <c r="N181" t="e">
        <f>VLOOKUP(C181,'Member Details (HOF Only)'!$A$2:$U$219,7,FALSE)</f>
        <v>#N/A</v>
      </c>
      <c r="O181" t="e">
        <f>VLOOKUP(H181,'Member Details (HOF Only)'!$A$2:$U$219,7,FALSE)</f>
        <v>#N/A</v>
      </c>
    </row>
    <row r="182" spans="1:15" x14ac:dyDescent="0.25">
      <c r="A182" s="40"/>
      <c r="B182" s="40"/>
      <c r="C182" s="40"/>
      <c r="D182" s="40"/>
      <c r="E182" s="40"/>
      <c r="F182" s="40"/>
      <c r="G182" s="40"/>
      <c r="H182" s="40"/>
      <c r="I182" s="40"/>
      <c r="J182" s="40"/>
      <c r="K182" s="40"/>
      <c r="L182" s="40"/>
      <c r="M182" s="40"/>
      <c r="N182" t="e">
        <f>VLOOKUP(C182,'Member Details (HOF Only)'!$A$2:$U$219,7,FALSE)</f>
        <v>#N/A</v>
      </c>
      <c r="O182" t="e">
        <f>VLOOKUP(H182,'Member Details (HOF Only)'!$A$2:$U$219,7,FALSE)</f>
        <v>#N/A</v>
      </c>
    </row>
    <row r="183" spans="1:15" x14ac:dyDescent="0.25">
      <c r="A183" s="40"/>
      <c r="B183" s="40"/>
      <c r="C183" s="40"/>
      <c r="D183" s="40"/>
      <c r="E183" s="40"/>
      <c r="F183" s="40"/>
      <c r="G183" s="40"/>
      <c r="H183" s="40"/>
      <c r="I183" s="40"/>
      <c r="J183" s="40"/>
      <c r="K183" s="40"/>
      <c r="L183" s="40"/>
      <c r="M183" s="40"/>
      <c r="N183" t="e">
        <f>VLOOKUP(C183,'Member Details (HOF Only)'!$A$2:$U$219,7,FALSE)</f>
        <v>#N/A</v>
      </c>
      <c r="O183" t="e">
        <f>VLOOKUP(H183,'Member Details (HOF Only)'!$A$2:$U$219,7,FALSE)</f>
        <v>#N/A</v>
      </c>
    </row>
    <row r="184" spans="1:15" x14ac:dyDescent="0.25">
      <c r="A184" s="40"/>
      <c r="B184" s="40"/>
      <c r="C184" s="40"/>
      <c r="D184" s="40"/>
      <c r="E184" s="40"/>
      <c r="F184" s="40"/>
      <c r="G184" s="40"/>
      <c r="H184" s="40"/>
      <c r="I184" s="40"/>
      <c r="J184" s="40"/>
      <c r="K184" s="40"/>
      <c r="L184" s="40"/>
      <c r="M184" s="40"/>
      <c r="N184" t="e">
        <f>VLOOKUP(C184,'Member Details (HOF Only)'!$A$2:$U$219,7,FALSE)</f>
        <v>#N/A</v>
      </c>
      <c r="O184" t="e">
        <f>VLOOKUP(H184,'Member Details (HOF Only)'!$A$2:$U$219,7,FALSE)</f>
        <v>#N/A</v>
      </c>
    </row>
    <row r="185" spans="1:15" x14ac:dyDescent="0.25">
      <c r="A185" s="40"/>
      <c r="B185" s="40"/>
      <c r="C185" s="40"/>
      <c r="D185" s="40"/>
      <c r="E185" s="40"/>
      <c r="F185" s="40"/>
      <c r="G185" s="40"/>
      <c r="H185" s="40"/>
      <c r="I185" s="40"/>
      <c r="J185" s="40"/>
      <c r="K185" s="40"/>
      <c r="L185" s="40"/>
      <c r="M185" s="40"/>
      <c r="N185" t="e">
        <f>VLOOKUP(C185,'Member Details (HOF Only)'!$A$2:$U$219,7,FALSE)</f>
        <v>#N/A</v>
      </c>
      <c r="O185" t="e">
        <f>VLOOKUP(H185,'Member Details (HOF Only)'!$A$2:$U$219,7,FALSE)</f>
        <v>#N/A</v>
      </c>
    </row>
    <row r="186" spans="1:15" x14ac:dyDescent="0.25">
      <c r="A186" s="40"/>
      <c r="B186" s="40"/>
      <c r="C186" s="40"/>
      <c r="D186" s="40"/>
      <c r="E186" s="40"/>
      <c r="F186" s="40"/>
      <c r="G186" s="40"/>
      <c r="H186" s="40"/>
      <c r="I186" s="40"/>
      <c r="J186" s="40"/>
      <c r="K186" s="40"/>
      <c r="L186" s="40"/>
      <c r="M186" s="40"/>
      <c r="N186" t="e">
        <f>VLOOKUP(C186,'Member Details (HOF Only)'!$A$2:$U$219,7,FALSE)</f>
        <v>#N/A</v>
      </c>
      <c r="O186" t="e">
        <f>VLOOKUP(H186,'Member Details (HOF Only)'!$A$2:$U$219,7,FALSE)</f>
        <v>#N/A</v>
      </c>
    </row>
    <row r="187" spans="1:15" x14ac:dyDescent="0.25">
      <c r="A187" s="40"/>
      <c r="B187" s="40"/>
      <c r="C187" s="40"/>
      <c r="D187" s="40"/>
      <c r="E187" s="40"/>
      <c r="F187" s="40"/>
      <c r="G187" s="40"/>
      <c r="H187" s="40"/>
      <c r="I187" s="40"/>
      <c r="J187" s="40"/>
      <c r="K187" s="40"/>
      <c r="L187" s="40"/>
      <c r="M187" s="40"/>
      <c r="N187" t="e">
        <f>VLOOKUP(C187,'Member Details (HOF Only)'!$A$2:$U$219,7,FALSE)</f>
        <v>#N/A</v>
      </c>
      <c r="O187" t="e">
        <f>VLOOKUP(H187,'Member Details (HOF Only)'!$A$2:$U$219,7,FALSE)</f>
        <v>#N/A</v>
      </c>
    </row>
    <row r="188" spans="1:15" x14ac:dyDescent="0.25">
      <c r="A188" s="40"/>
      <c r="B188" s="40"/>
      <c r="C188" s="40"/>
      <c r="D188" s="40"/>
      <c r="E188" s="40"/>
      <c r="F188" s="40"/>
      <c r="G188" s="40"/>
      <c r="H188" s="40"/>
      <c r="I188" s="40"/>
      <c r="J188" s="40"/>
      <c r="K188" s="40"/>
      <c r="L188" s="40"/>
      <c r="M188" s="40"/>
      <c r="N188" t="e">
        <f>VLOOKUP(C188,'Member Details (HOF Only)'!$A$2:$U$219,7,FALSE)</f>
        <v>#N/A</v>
      </c>
      <c r="O188" t="e">
        <f>VLOOKUP(H188,'Member Details (HOF Only)'!$A$2:$U$219,7,FALSE)</f>
        <v>#N/A</v>
      </c>
    </row>
    <row r="189" spans="1:15" x14ac:dyDescent="0.25">
      <c r="A189" s="40"/>
      <c r="B189" s="40"/>
      <c r="C189" s="40"/>
      <c r="D189" s="40"/>
      <c r="E189" s="40"/>
      <c r="F189" s="40"/>
      <c r="G189" s="40"/>
      <c r="H189" s="40"/>
      <c r="I189" s="40"/>
      <c r="J189" s="40"/>
      <c r="K189" s="40"/>
      <c r="L189" s="40"/>
      <c r="M189" s="40"/>
      <c r="N189" t="e">
        <f>VLOOKUP(C189,'Member Details (HOF Only)'!$A$2:$U$219,7,FALSE)</f>
        <v>#N/A</v>
      </c>
      <c r="O189" t="e">
        <f>VLOOKUP(H189,'Member Details (HOF Only)'!$A$2:$U$219,7,FALSE)</f>
        <v>#N/A</v>
      </c>
    </row>
    <row r="190" spans="1:15" x14ac:dyDescent="0.25">
      <c r="A190" s="40"/>
      <c r="B190" s="40"/>
      <c r="C190" s="40"/>
      <c r="D190" s="40"/>
      <c r="E190" s="40"/>
      <c r="F190" s="40"/>
      <c r="G190" s="40"/>
      <c r="H190" s="40"/>
      <c r="I190" s="40"/>
      <c r="J190" s="40"/>
      <c r="K190" s="40"/>
      <c r="L190" s="40"/>
      <c r="M190" s="40"/>
      <c r="N190" t="e">
        <f>VLOOKUP(C190,'Member Details (HOF Only)'!$A$2:$U$219,7,FALSE)</f>
        <v>#N/A</v>
      </c>
      <c r="O190" t="e">
        <f>VLOOKUP(H190,'Member Details (HOF Only)'!$A$2:$U$219,7,FALSE)</f>
        <v>#N/A</v>
      </c>
    </row>
    <row r="191" spans="1:15" x14ac:dyDescent="0.25">
      <c r="A191" s="40"/>
      <c r="B191" s="40"/>
      <c r="C191" s="40"/>
      <c r="D191" s="40"/>
      <c r="E191" s="40"/>
      <c r="F191" s="40"/>
      <c r="G191" s="40"/>
      <c r="H191" s="40"/>
      <c r="I191" s="40"/>
      <c r="J191" s="40"/>
      <c r="K191" s="40"/>
      <c r="L191" s="40"/>
      <c r="M191" s="40"/>
      <c r="N191" t="e">
        <f>VLOOKUP(C191,'Member Details (HOF Only)'!$A$2:$U$219,7,FALSE)</f>
        <v>#N/A</v>
      </c>
      <c r="O191" t="e">
        <f>VLOOKUP(H191,'Member Details (HOF Only)'!$A$2:$U$219,7,FALSE)</f>
        <v>#N/A</v>
      </c>
    </row>
    <row r="192" spans="1:15" x14ac:dyDescent="0.25">
      <c r="A192" s="40"/>
      <c r="B192" s="40"/>
      <c r="C192" s="40"/>
      <c r="D192" s="40"/>
      <c r="E192" s="40"/>
      <c r="F192" s="40"/>
      <c r="G192" s="40"/>
      <c r="H192" s="40"/>
      <c r="I192" s="40"/>
      <c r="J192" s="40"/>
      <c r="K192" s="40"/>
      <c r="L192" s="40"/>
      <c r="M192" s="40"/>
      <c r="N192" t="e">
        <f>VLOOKUP(C192,'Member Details (HOF Only)'!$A$2:$U$219,7,FALSE)</f>
        <v>#N/A</v>
      </c>
      <c r="O192" t="e">
        <f>VLOOKUP(H192,'Member Details (HOF Only)'!$A$2:$U$219,7,FALSE)</f>
        <v>#N/A</v>
      </c>
    </row>
    <row r="193" spans="1:15" x14ac:dyDescent="0.25">
      <c r="A193" s="40"/>
      <c r="B193" s="40"/>
      <c r="C193" s="40"/>
      <c r="D193" s="40"/>
      <c r="E193" s="40"/>
      <c r="F193" s="40"/>
      <c r="G193" s="40"/>
      <c r="H193" s="40"/>
      <c r="I193" s="40"/>
      <c r="J193" s="40"/>
      <c r="K193" s="40"/>
      <c r="L193" s="40"/>
      <c r="M193" s="40"/>
      <c r="N193" t="e">
        <f>VLOOKUP(C193,'Member Details (HOF Only)'!$A$2:$U$219,7,FALSE)</f>
        <v>#N/A</v>
      </c>
      <c r="O193" t="e">
        <f>VLOOKUP(H193,'Member Details (HOF Only)'!$A$2:$U$219,7,FALSE)</f>
        <v>#N/A</v>
      </c>
    </row>
    <row r="194" spans="1:15" x14ac:dyDescent="0.25">
      <c r="A194" s="40"/>
      <c r="B194" s="40"/>
      <c r="C194" s="40"/>
      <c r="D194" s="40"/>
      <c r="E194" s="40"/>
      <c r="F194" s="40"/>
      <c r="G194" s="40"/>
      <c r="H194" s="40"/>
      <c r="I194" s="40"/>
      <c r="J194" s="40"/>
      <c r="K194" s="40"/>
      <c r="L194" s="40"/>
      <c r="M194" s="40"/>
      <c r="N194" t="e">
        <f>VLOOKUP(C194,'Member Details (HOF Only)'!$A$2:$U$219,7,FALSE)</f>
        <v>#N/A</v>
      </c>
      <c r="O194" t="e">
        <f>VLOOKUP(H194,'Member Details (HOF Only)'!$A$2:$U$219,7,FALSE)</f>
        <v>#N/A</v>
      </c>
    </row>
    <row r="195" spans="1:15" x14ac:dyDescent="0.25">
      <c r="A195" s="40"/>
      <c r="B195" s="40"/>
      <c r="C195" s="40"/>
      <c r="D195" s="40"/>
      <c r="E195" s="40"/>
      <c r="F195" s="40"/>
      <c r="G195" s="40"/>
      <c r="H195" s="40"/>
      <c r="I195" s="40"/>
      <c r="J195" s="40"/>
      <c r="K195" s="40"/>
      <c r="L195" s="40"/>
      <c r="M195" s="40"/>
      <c r="N195" t="e">
        <f>VLOOKUP(C195,'Member Details (HOF Only)'!$A$2:$U$219,7,FALSE)</f>
        <v>#N/A</v>
      </c>
      <c r="O195" t="e">
        <f>VLOOKUP(H195,'Member Details (HOF Only)'!$A$2:$U$219,7,FALSE)</f>
        <v>#N/A</v>
      </c>
    </row>
    <row r="196" spans="1:15" x14ac:dyDescent="0.25">
      <c r="A196" s="40"/>
      <c r="B196" s="40"/>
      <c r="C196" s="40"/>
      <c r="D196" s="40"/>
      <c r="E196" s="40"/>
      <c r="F196" s="40"/>
      <c r="G196" s="40"/>
      <c r="H196" s="40"/>
      <c r="I196" s="40"/>
      <c r="J196" s="40"/>
      <c r="K196" s="40"/>
      <c r="L196" s="40"/>
      <c r="M196" s="40"/>
      <c r="N196" t="e">
        <f>VLOOKUP(C196,'Member Details (HOF Only)'!$A$2:$U$219,7,FALSE)</f>
        <v>#N/A</v>
      </c>
      <c r="O196" t="e">
        <f>VLOOKUP(H196,'Member Details (HOF Only)'!$A$2:$U$219,7,FALSE)</f>
        <v>#N/A</v>
      </c>
    </row>
    <row r="197" spans="1:15" x14ac:dyDescent="0.25">
      <c r="A197" s="40"/>
      <c r="B197" s="40"/>
      <c r="C197" s="40"/>
      <c r="D197" s="40"/>
      <c r="E197" s="40"/>
      <c r="F197" s="40"/>
      <c r="G197" s="40"/>
      <c r="H197" s="40"/>
      <c r="I197" s="40"/>
      <c r="J197" s="40"/>
      <c r="K197" s="40"/>
      <c r="L197" s="40"/>
      <c r="M197" s="40"/>
      <c r="N197" t="e">
        <f>VLOOKUP(C197,'Member Details (HOF Only)'!$A$2:$U$219,7,FALSE)</f>
        <v>#N/A</v>
      </c>
      <c r="O197" t="e">
        <f>VLOOKUP(H197,'Member Details (HOF Only)'!$A$2:$U$219,7,FALSE)</f>
        <v>#N/A</v>
      </c>
    </row>
    <row r="198" spans="1:15" x14ac:dyDescent="0.25">
      <c r="A198" s="40"/>
      <c r="B198" s="40"/>
      <c r="C198" s="40"/>
      <c r="D198" s="40"/>
      <c r="E198" s="40"/>
      <c r="F198" s="40"/>
      <c r="G198" s="40"/>
      <c r="H198" s="40"/>
      <c r="I198" s="40"/>
      <c r="J198" s="40"/>
      <c r="K198" s="40"/>
      <c r="L198" s="40"/>
      <c r="M198" s="40"/>
      <c r="N198" t="e">
        <f>VLOOKUP(C198,'Member Details (HOF Only)'!$A$2:$U$219,7,FALSE)</f>
        <v>#N/A</v>
      </c>
      <c r="O198" t="e">
        <f>VLOOKUP(H198,'Member Details (HOF Only)'!$A$2:$U$219,7,FALSE)</f>
        <v>#N/A</v>
      </c>
    </row>
    <row r="199" spans="1:15" x14ac:dyDescent="0.25">
      <c r="A199" s="40"/>
      <c r="B199" s="40"/>
      <c r="C199" s="40"/>
      <c r="D199" s="40"/>
      <c r="E199" s="40"/>
      <c r="F199" s="40"/>
      <c r="G199" s="40"/>
      <c r="H199" s="40"/>
      <c r="I199" s="40"/>
      <c r="J199" s="40"/>
      <c r="K199" s="40"/>
      <c r="L199" s="40"/>
      <c r="M199" s="40"/>
      <c r="N199" t="e">
        <f>VLOOKUP(C199,'Member Details (HOF Only)'!$A$2:$U$219,7,FALSE)</f>
        <v>#N/A</v>
      </c>
      <c r="O199" t="e">
        <f>VLOOKUP(H199,'Member Details (HOF Only)'!$A$2:$U$219,7,FALSE)</f>
        <v>#N/A</v>
      </c>
    </row>
    <row r="200" spans="1:15" x14ac:dyDescent="0.25">
      <c r="A200" s="40"/>
      <c r="B200" s="40"/>
      <c r="C200" s="40"/>
      <c r="D200" s="40"/>
      <c r="E200" s="40"/>
      <c r="F200" s="40"/>
      <c r="G200" s="40"/>
      <c r="H200" s="40"/>
      <c r="I200" s="40"/>
      <c r="J200" s="40"/>
      <c r="K200" s="40"/>
      <c r="L200" s="40"/>
      <c r="M200" s="40"/>
      <c r="N200" t="e">
        <f>VLOOKUP(C200,'Member Details (HOF Only)'!$A$2:$U$219,7,FALSE)</f>
        <v>#N/A</v>
      </c>
      <c r="O200" t="e">
        <f>VLOOKUP(H200,'Member Details (HOF Only)'!$A$2:$U$219,7,FALSE)</f>
        <v>#N/A</v>
      </c>
    </row>
    <row r="201" spans="1:15" x14ac:dyDescent="0.25">
      <c r="A201" s="40"/>
      <c r="B201" s="40"/>
      <c r="C201" s="40"/>
      <c r="D201" s="40"/>
      <c r="E201" s="40"/>
      <c r="F201" s="40"/>
      <c r="G201" s="40"/>
      <c r="H201" s="40"/>
      <c r="I201" s="40"/>
      <c r="J201" s="40"/>
      <c r="K201" s="40"/>
      <c r="L201" s="40"/>
      <c r="M201" s="40"/>
      <c r="N201" t="e">
        <f>VLOOKUP(C201,'Member Details (HOF Only)'!$A$2:$U$219,7,FALSE)</f>
        <v>#N/A</v>
      </c>
      <c r="O201" t="e">
        <f>VLOOKUP(H201,'Member Details (HOF Only)'!$A$2:$U$219,7,FALSE)</f>
        <v>#N/A</v>
      </c>
    </row>
    <row r="202" spans="1:15" x14ac:dyDescent="0.25">
      <c r="A202" s="40"/>
      <c r="B202" s="40"/>
      <c r="C202" s="40"/>
      <c r="D202" s="40"/>
      <c r="E202" s="40"/>
      <c r="F202" s="40"/>
      <c r="G202" s="40"/>
      <c r="H202" s="40"/>
      <c r="I202" s="40"/>
      <c r="J202" s="40"/>
      <c r="K202" s="40"/>
      <c r="L202" s="40"/>
      <c r="M202" s="40"/>
      <c r="N202" t="e">
        <f>VLOOKUP(C202,'Member Details (HOF Only)'!$A$2:$U$219,7,FALSE)</f>
        <v>#N/A</v>
      </c>
      <c r="O202" t="e">
        <f>VLOOKUP(H202,'Member Details (HOF Only)'!$A$2:$U$219,7,FALSE)</f>
        <v>#N/A</v>
      </c>
    </row>
    <row r="203" spans="1:15" x14ac:dyDescent="0.25">
      <c r="A203" s="40"/>
      <c r="B203" s="40"/>
      <c r="C203" s="40"/>
      <c r="D203" s="40"/>
      <c r="E203" s="40"/>
      <c r="F203" s="40"/>
      <c r="G203" s="40"/>
      <c r="H203" s="40"/>
      <c r="I203" s="40"/>
      <c r="J203" s="40"/>
      <c r="K203" s="40"/>
      <c r="L203" s="40"/>
      <c r="M203" s="40"/>
      <c r="N203" t="e">
        <f>VLOOKUP(C203,'Member Details (HOF Only)'!$A$2:$U$219,7,FALSE)</f>
        <v>#N/A</v>
      </c>
      <c r="O203" t="e">
        <f>VLOOKUP(H203,'Member Details (HOF Only)'!$A$2:$U$219,7,FALSE)</f>
        <v>#N/A</v>
      </c>
    </row>
    <row r="204" spans="1:15" x14ac:dyDescent="0.25">
      <c r="A204" s="40"/>
      <c r="B204" s="40"/>
      <c r="C204" s="40"/>
      <c r="D204" s="40"/>
      <c r="E204" s="40"/>
      <c r="F204" s="40"/>
      <c r="G204" s="40"/>
      <c r="H204" s="40"/>
      <c r="I204" s="40"/>
      <c r="J204" s="40"/>
      <c r="K204" s="40"/>
      <c r="L204" s="40"/>
      <c r="M204" s="40"/>
      <c r="N204" t="e">
        <f>VLOOKUP(C204,'Member Details (HOF Only)'!$A$2:$U$219,7,FALSE)</f>
        <v>#N/A</v>
      </c>
      <c r="O204" t="e">
        <f>VLOOKUP(H204,'Member Details (HOF Only)'!$A$2:$U$219,7,FALSE)</f>
        <v>#N/A</v>
      </c>
    </row>
    <row r="205" spans="1:15" x14ac:dyDescent="0.25">
      <c r="A205" s="40"/>
      <c r="B205" s="40"/>
      <c r="C205" s="40"/>
      <c r="D205" s="40"/>
      <c r="E205" s="40"/>
      <c r="F205" s="40"/>
      <c r="G205" s="40"/>
      <c r="H205" s="40"/>
      <c r="I205" s="40"/>
      <c r="J205" s="40"/>
      <c r="K205" s="40"/>
      <c r="L205" s="40"/>
      <c r="M205" s="40"/>
      <c r="N205" t="e">
        <f>VLOOKUP(C205,'Member Details (HOF Only)'!$A$2:$U$219,7,FALSE)</f>
        <v>#N/A</v>
      </c>
      <c r="O205" t="e">
        <f>VLOOKUP(H205,'Member Details (HOF Only)'!$A$2:$U$219,7,FALSE)</f>
        <v>#N/A</v>
      </c>
    </row>
    <row r="206" spans="1:15" x14ac:dyDescent="0.25">
      <c r="A206" s="40"/>
      <c r="B206" s="40"/>
      <c r="C206" s="40"/>
      <c r="D206" s="40"/>
      <c r="E206" s="40"/>
      <c r="F206" s="40"/>
      <c r="G206" s="40"/>
      <c r="H206" s="40"/>
      <c r="I206" s="40"/>
      <c r="J206" s="40"/>
      <c r="K206" s="40"/>
      <c r="L206" s="40"/>
      <c r="M206" s="40"/>
      <c r="N206" t="e">
        <f>VLOOKUP(C206,'Member Details (HOF Only)'!$A$2:$U$219,7,FALSE)</f>
        <v>#N/A</v>
      </c>
      <c r="O206" t="e">
        <f>VLOOKUP(H206,'Member Details (HOF Only)'!$A$2:$U$219,7,FALSE)</f>
        <v>#N/A</v>
      </c>
    </row>
    <row r="207" spans="1:15" x14ac:dyDescent="0.25">
      <c r="A207" s="40"/>
      <c r="B207" s="40"/>
      <c r="C207" s="40"/>
      <c r="D207" s="40"/>
      <c r="E207" s="40"/>
      <c r="F207" s="40"/>
      <c r="G207" s="40"/>
      <c r="H207" s="40"/>
      <c r="I207" s="40"/>
      <c r="J207" s="40"/>
      <c r="K207" s="40"/>
      <c r="L207" s="40"/>
      <c r="M207" s="40"/>
      <c r="N207" t="e">
        <f>VLOOKUP(C207,'Member Details (HOF Only)'!$A$2:$U$219,7,FALSE)</f>
        <v>#N/A</v>
      </c>
      <c r="O207" t="e">
        <f>VLOOKUP(H207,'Member Details (HOF Only)'!$A$2:$U$219,7,FALSE)</f>
        <v>#N/A</v>
      </c>
    </row>
    <row r="208" spans="1:15" x14ac:dyDescent="0.25">
      <c r="A208" s="40"/>
      <c r="B208" s="40"/>
      <c r="C208" s="40"/>
      <c r="D208" s="40"/>
      <c r="E208" s="40"/>
      <c r="F208" s="40"/>
      <c r="G208" s="40"/>
      <c r="H208" s="40"/>
      <c r="I208" s="40"/>
      <c r="J208" s="40"/>
      <c r="K208" s="40"/>
      <c r="L208" s="40"/>
      <c r="M208" s="40"/>
      <c r="N208" t="e">
        <f>VLOOKUP(C208,'Member Details (HOF Only)'!$A$2:$U$219,7,FALSE)</f>
        <v>#N/A</v>
      </c>
      <c r="O208" t="e">
        <f>VLOOKUP(H208,'Member Details (HOF Only)'!$A$2:$U$219,7,FALSE)</f>
        <v>#N/A</v>
      </c>
    </row>
    <row r="209" spans="1:15" x14ac:dyDescent="0.25">
      <c r="A209" s="40"/>
      <c r="B209" s="40"/>
      <c r="C209" s="40"/>
      <c r="D209" s="40"/>
      <c r="E209" s="40"/>
      <c r="F209" s="40"/>
      <c r="G209" s="40"/>
      <c r="H209" s="40"/>
      <c r="I209" s="40"/>
      <c r="J209" s="40"/>
      <c r="K209" s="40"/>
      <c r="L209" s="40"/>
      <c r="M209" s="40"/>
      <c r="N209" t="e">
        <f>VLOOKUP(C209,'Member Details (HOF Only)'!$A$2:$U$219,7,FALSE)</f>
        <v>#N/A</v>
      </c>
      <c r="O209" t="e">
        <f>VLOOKUP(H209,'Member Details (HOF Only)'!$A$2:$U$219,7,FALSE)</f>
        <v>#N/A</v>
      </c>
    </row>
    <row r="210" spans="1:15" x14ac:dyDescent="0.25">
      <c r="A210" s="40"/>
      <c r="B210" s="40"/>
      <c r="C210" s="40"/>
      <c r="D210" s="40"/>
      <c r="E210" s="40"/>
      <c r="F210" s="40"/>
      <c r="G210" s="40"/>
      <c r="H210" s="40"/>
      <c r="I210" s="40"/>
      <c r="J210" s="40"/>
      <c r="K210" s="40"/>
      <c r="L210" s="40"/>
      <c r="M210" s="40"/>
      <c r="N210" t="e">
        <f>VLOOKUP(C210,'Member Details (HOF Only)'!$A$2:$U$219,7,FALSE)</f>
        <v>#N/A</v>
      </c>
      <c r="O210" t="e">
        <f>VLOOKUP(H210,'Member Details (HOF Only)'!$A$2:$U$219,7,FALSE)</f>
        <v>#N/A</v>
      </c>
    </row>
    <row r="211" spans="1:15" x14ac:dyDescent="0.25">
      <c r="A211" s="40"/>
      <c r="B211" s="40"/>
      <c r="C211" s="40"/>
      <c r="D211" s="40"/>
      <c r="E211" s="40"/>
      <c r="F211" s="40"/>
      <c r="G211" s="40"/>
      <c r="H211" s="40"/>
      <c r="I211" s="40"/>
      <c r="J211" s="40"/>
      <c r="K211" s="40"/>
      <c r="L211" s="40"/>
      <c r="M211" s="40"/>
      <c r="N211" t="e">
        <f>VLOOKUP(C211,'Member Details (HOF Only)'!$A$2:$U$219,7,FALSE)</f>
        <v>#N/A</v>
      </c>
      <c r="O211" t="e">
        <f>VLOOKUP(H211,'Member Details (HOF Only)'!$A$2:$U$219,7,FALSE)</f>
        <v>#N/A</v>
      </c>
    </row>
    <row r="212" spans="1:15" x14ac:dyDescent="0.25">
      <c r="A212" s="40"/>
      <c r="B212" s="40"/>
      <c r="C212" s="40"/>
      <c r="D212" s="40"/>
      <c r="E212" s="40"/>
      <c r="F212" s="40"/>
      <c r="G212" s="40"/>
      <c r="H212" s="40"/>
      <c r="I212" s="40"/>
      <c r="J212" s="40"/>
      <c r="K212" s="40"/>
      <c r="L212" s="40"/>
      <c r="M212" s="40"/>
      <c r="N212" t="e">
        <f>VLOOKUP(C212,'Member Details (HOF Only)'!$A$2:$U$219,7,FALSE)</f>
        <v>#N/A</v>
      </c>
      <c r="O212" t="e">
        <f>VLOOKUP(H212,'Member Details (HOF Only)'!$A$2:$U$219,7,FALSE)</f>
        <v>#N/A</v>
      </c>
    </row>
    <row r="213" spans="1:15" x14ac:dyDescent="0.25">
      <c r="A213" s="40"/>
      <c r="B213" s="40"/>
      <c r="C213" s="40"/>
      <c r="D213" s="40"/>
      <c r="E213" s="40"/>
      <c r="F213" s="40"/>
      <c r="G213" s="40"/>
      <c r="H213" s="40"/>
      <c r="I213" s="40"/>
      <c r="J213" s="40"/>
      <c r="K213" s="40"/>
      <c r="L213" s="40"/>
      <c r="M213" s="40"/>
      <c r="N213" t="e">
        <f>VLOOKUP(C213,'Member Details (HOF Only)'!$A$2:$U$219,7,FALSE)</f>
        <v>#N/A</v>
      </c>
      <c r="O213" t="e">
        <f>VLOOKUP(H213,'Member Details (HOF Only)'!$A$2:$U$219,7,FALSE)</f>
        <v>#N/A</v>
      </c>
    </row>
    <row r="214" spans="1:15" x14ac:dyDescent="0.25">
      <c r="A214" s="40"/>
      <c r="B214" s="40"/>
      <c r="C214" s="40"/>
      <c r="D214" s="40"/>
      <c r="E214" s="40"/>
      <c r="F214" s="40"/>
      <c r="G214" s="40"/>
      <c r="H214" s="40"/>
      <c r="I214" s="40"/>
      <c r="J214" s="40"/>
      <c r="K214" s="40"/>
      <c r="L214" s="40"/>
      <c r="M214" s="40"/>
      <c r="N214" t="e">
        <f>VLOOKUP(C214,'Member Details (HOF Only)'!$A$2:$U$219,7,FALSE)</f>
        <v>#N/A</v>
      </c>
      <c r="O214" t="e">
        <f>VLOOKUP(H214,'Member Details (HOF Only)'!$A$2:$U$219,7,FALSE)</f>
        <v>#N/A</v>
      </c>
    </row>
    <row r="215" spans="1:15" x14ac:dyDescent="0.25">
      <c r="A215" s="40"/>
      <c r="B215" s="40"/>
      <c r="C215" s="40"/>
      <c r="D215" s="40"/>
      <c r="E215" s="40"/>
      <c r="F215" s="40"/>
      <c r="G215" s="40"/>
      <c r="H215" s="40"/>
      <c r="I215" s="40"/>
      <c r="J215" s="40"/>
      <c r="K215" s="40"/>
      <c r="L215" s="40"/>
      <c r="M215" s="40"/>
      <c r="N215" t="e">
        <f>VLOOKUP(C215,'Member Details (HOF Only)'!$A$2:$U$219,7,FALSE)</f>
        <v>#N/A</v>
      </c>
      <c r="O215" t="e">
        <f>VLOOKUP(H215,'Member Details (HOF Only)'!$A$2:$U$219,7,FALSE)</f>
        <v>#N/A</v>
      </c>
    </row>
    <row r="216" spans="1:15" x14ac:dyDescent="0.25">
      <c r="A216" s="40"/>
      <c r="B216" s="40"/>
      <c r="C216" s="40"/>
      <c r="D216" s="40"/>
      <c r="E216" s="40"/>
      <c r="F216" s="40"/>
      <c r="G216" s="40"/>
      <c r="H216" s="40"/>
      <c r="I216" s="40"/>
      <c r="J216" s="40"/>
      <c r="K216" s="40"/>
      <c r="L216" s="40"/>
      <c r="M216" s="40"/>
      <c r="N216" t="e">
        <f>VLOOKUP(C216,'Member Details (HOF Only)'!$A$2:$U$219,7,FALSE)</f>
        <v>#N/A</v>
      </c>
      <c r="O216" t="e">
        <f>VLOOKUP(H216,'Member Details (HOF Only)'!$A$2:$U$219,7,FALSE)</f>
        <v>#N/A</v>
      </c>
    </row>
    <row r="217" spans="1:15" x14ac:dyDescent="0.25">
      <c r="A217" s="40"/>
      <c r="B217" s="40"/>
      <c r="C217" s="40"/>
      <c r="D217" s="40"/>
      <c r="E217" s="40"/>
      <c r="F217" s="40"/>
      <c r="G217" s="40"/>
      <c r="H217" s="40"/>
      <c r="I217" s="40"/>
      <c r="J217" s="40"/>
      <c r="K217" s="40"/>
      <c r="L217" s="40"/>
      <c r="M217" s="40"/>
      <c r="N217" t="e">
        <f>VLOOKUP(C217,'Member Details (HOF Only)'!$A$2:$U$219,7,FALSE)</f>
        <v>#N/A</v>
      </c>
      <c r="O217" t="e">
        <f>VLOOKUP(H217,'Member Details (HOF Only)'!$A$2:$U$219,7,FALSE)</f>
        <v>#N/A</v>
      </c>
    </row>
    <row r="218" spans="1:15" x14ac:dyDescent="0.25">
      <c r="A218" s="40"/>
      <c r="B218" s="40"/>
      <c r="C218" s="40"/>
      <c r="D218" s="40"/>
      <c r="E218" s="40"/>
      <c r="F218" s="40"/>
      <c r="G218" s="40"/>
      <c r="H218" s="40"/>
      <c r="I218" s="40"/>
      <c r="J218" s="40"/>
      <c r="K218" s="40"/>
      <c r="L218" s="40"/>
      <c r="M218" s="40"/>
      <c r="N218" t="e">
        <f>VLOOKUP(C218,'Member Details (HOF Only)'!$A$2:$U$219,7,FALSE)</f>
        <v>#N/A</v>
      </c>
      <c r="O218" t="e">
        <f>VLOOKUP(H218,'Member Details (HOF Only)'!$A$2:$U$219,7,FALSE)</f>
        <v>#N/A</v>
      </c>
    </row>
    <row r="219" spans="1:15" x14ac:dyDescent="0.25">
      <c r="A219" s="40"/>
      <c r="B219" s="40"/>
      <c r="C219" s="40"/>
      <c r="D219" s="40"/>
      <c r="E219" s="40"/>
      <c r="F219" s="40"/>
      <c r="G219" s="40"/>
      <c r="H219" s="40"/>
      <c r="I219" s="40"/>
      <c r="J219" s="40"/>
      <c r="K219" s="40"/>
      <c r="L219" s="40"/>
      <c r="M219" s="40"/>
      <c r="N219" t="e">
        <f>VLOOKUP(C219,'Member Details (HOF Only)'!$A$2:$U$219,7,FALSE)</f>
        <v>#N/A</v>
      </c>
      <c r="O219" t="e">
        <f>VLOOKUP(H219,'Member Details (HOF Only)'!$A$2:$U$219,7,FALSE)</f>
        <v>#N/A</v>
      </c>
    </row>
    <row r="220" spans="1:15" x14ac:dyDescent="0.25">
      <c r="A220" s="40"/>
      <c r="B220" s="40"/>
      <c r="C220" s="40"/>
      <c r="D220" s="40"/>
      <c r="E220" s="40"/>
      <c r="F220" s="40"/>
      <c r="G220" s="40"/>
      <c r="H220" s="40"/>
      <c r="I220" s="40"/>
      <c r="J220" s="40"/>
      <c r="K220" s="40"/>
      <c r="L220" s="40"/>
      <c r="M220" s="40"/>
      <c r="N220" t="e">
        <f>VLOOKUP(C220,'Member Details (HOF Only)'!$A$2:$U$219,7,FALSE)</f>
        <v>#N/A</v>
      </c>
      <c r="O220" t="e">
        <f>VLOOKUP(H220,'Member Details (HOF Only)'!$A$2:$U$219,7,FALSE)</f>
        <v>#N/A</v>
      </c>
    </row>
    <row r="221" spans="1:15" x14ac:dyDescent="0.25">
      <c r="A221" s="40"/>
      <c r="B221" s="40"/>
      <c r="C221" s="40"/>
      <c r="D221" s="40"/>
      <c r="E221" s="40"/>
      <c r="F221" s="40"/>
      <c r="G221" s="40"/>
      <c r="H221" s="40"/>
      <c r="I221" s="40"/>
      <c r="J221" s="40"/>
      <c r="K221" s="40"/>
      <c r="L221" s="40"/>
      <c r="M221" s="40"/>
      <c r="N221" t="e">
        <f>VLOOKUP(C221,'Member Details (HOF Only)'!$A$2:$U$219,7,FALSE)</f>
        <v>#N/A</v>
      </c>
      <c r="O221" t="e">
        <f>VLOOKUP(H221,'Member Details (HOF Only)'!$A$2:$U$219,7,FALSE)</f>
        <v>#N/A</v>
      </c>
    </row>
    <row r="222" spans="1:15" x14ac:dyDescent="0.25">
      <c r="A222" s="40"/>
      <c r="B222" s="40"/>
      <c r="C222" s="40"/>
      <c r="D222" s="40"/>
      <c r="E222" s="40"/>
      <c r="F222" s="40"/>
      <c r="G222" s="40"/>
      <c r="H222" s="40"/>
      <c r="I222" s="40"/>
      <c r="J222" s="40"/>
      <c r="K222" s="40"/>
      <c r="L222" s="40"/>
      <c r="M222" s="40"/>
      <c r="N222" t="e">
        <f>VLOOKUP(C222,'Member Details (HOF Only)'!$A$2:$U$219,7,FALSE)</f>
        <v>#N/A</v>
      </c>
      <c r="O222" t="e">
        <f>VLOOKUP(H222,'Member Details (HOF Only)'!$A$2:$U$219,7,FALSE)</f>
        <v>#N/A</v>
      </c>
    </row>
    <row r="223" spans="1:15" x14ac:dyDescent="0.25">
      <c r="A223" s="40"/>
      <c r="B223" s="40"/>
      <c r="C223" s="40"/>
      <c r="D223" s="40"/>
      <c r="E223" s="40"/>
      <c r="F223" s="40"/>
      <c r="G223" s="40"/>
      <c r="H223" s="40"/>
      <c r="I223" s="40"/>
      <c r="J223" s="40"/>
      <c r="K223" s="40"/>
      <c r="L223" s="40"/>
      <c r="M223" s="40"/>
      <c r="N223" t="e">
        <f>VLOOKUP(C223,'Member Details (HOF Only)'!$A$2:$U$219,7,FALSE)</f>
        <v>#N/A</v>
      </c>
      <c r="O223" t="e">
        <f>VLOOKUP(H223,'Member Details (HOF Only)'!$A$2:$U$219,7,FALSE)</f>
        <v>#N/A</v>
      </c>
    </row>
    <row r="224" spans="1:15" x14ac:dyDescent="0.25">
      <c r="A224" s="40"/>
      <c r="B224" s="40"/>
      <c r="C224" s="40"/>
      <c r="D224" s="40"/>
      <c r="E224" s="40"/>
      <c r="F224" s="40"/>
      <c r="G224" s="40"/>
      <c r="H224" s="40"/>
      <c r="I224" s="40"/>
      <c r="J224" s="40"/>
      <c r="K224" s="40"/>
      <c r="L224" s="40"/>
      <c r="M224" s="40"/>
      <c r="N224" t="e">
        <f>VLOOKUP(C224,'Member Details (HOF Only)'!$A$2:$U$219,7,FALSE)</f>
        <v>#N/A</v>
      </c>
      <c r="O224" t="e">
        <f>VLOOKUP(H224,'Member Details (HOF Only)'!$A$2:$U$219,7,FALSE)</f>
        <v>#N/A</v>
      </c>
    </row>
    <row r="225" spans="1:15" x14ac:dyDescent="0.25">
      <c r="A225" s="40"/>
      <c r="B225" s="40"/>
      <c r="C225" s="40"/>
      <c r="D225" s="40"/>
      <c r="E225" s="40"/>
      <c r="F225" s="40"/>
      <c r="G225" s="40"/>
      <c r="H225" s="40"/>
      <c r="I225" s="40"/>
      <c r="J225" s="40"/>
      <c r="K225" s="40"/>
      <c r="L225" s="40"/>
      <c r="M225" s="40"/>
      <c r="N225" t="e">
        <f>VLOOKUP(C225,'Member Details (HOF Only)'!$A$2:$U$219,7,FALSE)</f>
        <v>#N/A</v>
      </c>
      <c r="O225" t="e">
        <f>VLOOKUP(H225,'Member Details (HOF Only)'!$A$2:$U$219,7,FALSE)</f>
        <v>#N/A</v>
      </c>
    </row>
    <row r="226" spans="1:15" x14ac:dyDescent="0.25">
      <c r="A226" s="40"/>
      <c r="B226" s="40"/>
      <c r="C226" s="40"/>
      <c r="D226" s="40"/>
      <c r="E226" s="40"/>
      <c r="F226" s="40"/>
      <c r="G226" s="40"/>
      <c r="H226" s="40"/>
      <c r="I226" s="40"/>
      <c r="J226" s="40"/>
      <c r="K226" s="40"/>
      <c r="L226" s="40"/>
      <c r="M226" s="40"/>
      <c r="N226" t="e">
        <f>VLOOKUP(C226,'Member Details (HOF Only)'!$A$2:$U$219,7,FALSE)</f>
        <v>#N/A</v>
      </c>
      <c r="O226" t="e">
        <f>VLOOKUP(H226,'Member Details (HOF Only)'!$A$2:$U$219,7,FALSE)</f>
        <v>#N/A</v>
      </c>
    </row>
    <row r="227" spans="1:15" x14ac:dyDescent="0.25">
      <c r="A227" s="40"/>
      <c r="B227" s="40"/>
      <c r="C227" s="40"/>
      <c r="D227" s="40"/>
      <c r="E227" s="40"/>
      <c r="F227" s="40"/>
      <c r="G227" s="40"/>
      <c r="H227" s="40"/>
      <c r="I227" s="40"/>
      <c r="J227" s="40"/>
      <c r="K227" s="40"/>
      <c r="L227" s="40"/>
      <c r="M227" s="40"/>
      <c r="N227" t="e">
        <f>VLOOKUP(C227,'Member Details (HOF Only)'!$A$2:$U$219,7,FALSE)</f>
        <v>#N/A</v>
      </c>
      <c r="O227" t="e">
        <f>VLOOKUP(H227,'Member Details (HOF Only)'!$A$2:$U$219,7,FALSE)</f>
        <v>#N/A</v>
      </c>
    </row>
    <row r="228" spans="1:15" x14ac:dyDescent="0.25">
      <c r="A228" s="40"/>
      <c r="B228" s="40"/>
      <c r="C228" s="40"/>
      <c r="D228" s="40"/>
      <c r="E228" s="40"/>
      <c r="F228" s="40"/>
      <c r="G228" s="40"/>
      <c r="H228" s="40"/>
      <c r="I228" s="40"/>
      <c r="J228" s="40"/>
      <c r="K228" s="40"/>
      <c r="L228" s="40"/>
      <c r="M228" s="40"/>
      <c r="N228" t="e">
        <f>VLOOKUP(C228,'Member Details (HOF Only)'!$A$2:$U$219,7,FALSE)</f>
        <v>#N/A</v>
      </c>
      <c r="O228" t="e">
        <f>VLOOKUP(H228,'Member Details (HOF Only)'!$A$2:$U$219,7,FALSE)</f>
        <v>#N/A</v>
      </c>
    </row>
    <row r="229" spans="1:15" x14ac:dyDescent="0.25">
      <c r="A229" s="40"/>
      <c r="B229" s="40"/>
      <c r="C229" s="40"/>
      <c r="D229" s="40"/>
      <c r="E229" s="40"/>
      <c r="F229" s="40"/>
      <c r="G229" s="40"/>
      <c r="H229" s="40"/>
      <c r="I229" s="40"/>
      <c r="J229" s="40"/>
      <c r="K229" s="40"/>
      <c r="L229" s="40"/>
      <c r="M229" s="40"/>
      <c r="N229" t="e">
        <f>VLOOKUP(C229,'Member Details (HOF Only)'!$A$2:$U$219,7,FALSE)</f>
        <v>#N/A</v>
      </c>
      <c r="O229" t="e">
        <f>VLOOKUP(H229,'Member Details (HOF Only)'!$A$2:$U$219,7,FALSE)</f>
        <v>#N/A</v>
      </c>
    </row>
    <row r="230" spans="1:15" x14ac:dyDescent="0.25">
      <c r="A230" s="40"/>
      <c r="B230" s="40"/>
      <c r="C230" s="40"/>
      <c r="D230" s="40"/>
      <c r="E230" s="40"/>
      <c r="F230" s="40"/>
      <c r="G230" s="40"/>
      <c r="H230" s="40"/>
      <c r="I230" s="40"/>
      <c r="J230" s="40"/>
      <c r="K230" s="40"/>
      <c r="L230" s="40"/>
      <c r="M230" s="40"/>
      <c r="N230" t="e">
        <f>VLOOKUP(C230,'Member Details (HOF Only)'!$A$2:$U$219,7,FALSE)</f>
        <v>#N/A</v>
      </c>
      <c r="O230" t="e">
        <f>VLOOKUP(H230,'Member Details (HOF Only)'!$A$2:$U$219,7,FALSE)</f>
        <v>#N/A</v>
      </c>
    </row>
    <row r="231" spans="1:15" x14ac:dyDescent="0.25">
      <c r="A231" s="40"/>
      <c r="B231" s="40"/>
      <c r="C231" s="40"/>
      <c r="D231" s="40"/>
      <c r="E231" s="40"/>
      <c r="F231" s="40"/>
      <c r="G231" s="40"/>
      <c r="H231" s="40"/>
      <c r="I231" s="40"/>
      <c r="J231" s="40"/>
      <c r="K231" s="40"/>
      <c r="L231" s="40"/>
      <c r="M231" s="40"/>
      <c r="N231" t="e">
        <f>VLOOKUP(C231,'Member Details (HOF Only)'!$A$2:$U$219,7,FALSE)</f>
        <v>#N/A</v>
      </c>
      <c r="O231" t="e">
        <f>VLOOKUP(H231,'Member Details (HOF Only)'!$A$2:$U$219,7,FALSE)</f>
        <v>#N/A</v>
      </c>
    </row>
    <row r="232" spans="1:15" x14ac:dyDescent="0.25">
      <c r="A232" s="40"/>
      <c r="B232" s="40"/>
      <c r="C232" s="40"/>
      <c r="D232" s="40"/>
      <c r="E232" s="40"/>
      <c r="F232" s="40"/>
      <c r="G232" s="40"/>
      <c r="H232" s="40"/>
      <c r="I232" s="40"/>
      <c r="J232" s="40"/>
      <c r="K232" s="40"/>
      <c r="L232" s="40"/>
      <c r="M232" s="40"/>
      <c r="N232" t="e">
        <f>VLOOKUP(C232,'Member Details (HOF Only)'!$A$2:$U$219,7,FALSE)</f>
        <v>#N/A</v>
      </c>
      <c r="O232" t="e">
        <f>VLOOKUP(H232,'Member Details (HOF Only)'!$A$2:$U$219,7,FALSE)</f>
        <v>#N/A</v>
      </c>
    </row>
    <row r="233" spans="1:15" x14ac:dyDescent="0.25">
      <c r="A233" s="40"/>
      <c r="B233" s="40"/>
      <c r="C233" s="40"/>
      <c r="D233" s="40"/>
      <c r="E233" s="40"/>
      <c r="F233" s="40"/>
      <c r="G233" s="40"/>
      <c r="H233" s="40"/>
      <c r="I233" s="40"/>
      <c r="J233" s="40"/>
      <c r="K233" s="40"/>
      <c r="L233" s="40"/>
      <c r="M233" s="40"/>
      <c r="N233" t="e">
        <f>VLOOKUP(C233,'Member Details (HOF Only)'!$A$2:$U$219,7,FALSE)</f>
        <v>#N/A</v>
      </c>
      <c r="O233" t="e">
        <f>VLOOKUP(H233,'Member Details (HOF Only)'!$A$2:$U$219,7,FALSE)</f>
        <v>#N/A</v>
      </c>
    </row>
    <row r="234" spans="1:15" x14ac:dyDescent="0.25">
      <c r="A234" s="40"/>
      <c r="B234" s="40"/>
      <c r="C234" s="40"/>
      <c r="D234" s="40"/>
      <c r="E234" s="40"/>
      <c r="F234" s="40"/>
      <c r="G234" s="40"/>
      <c r="H234" s="40"/>
      <c r="I234" s="40"/>
      <c r="J234" s="40"/>
      <c r="K234" s="40"/>
      <c r="L234" s="40"/>
      <c r="M234" s="40"/>
      <c r="N234" t="e">
        <f>VLOOKUP(C234,'Member Details (HOF Only)'!$A$2:$U$219,7,FALSE)</f>
        <v>#N/A</v>
      </c>
      <c r="O234" t="e">
        <f>VLOOKUP(H234,'Member Details (HOF Only)'!$A$2:$U$219,7,FALSE)</f>
        <v>#N/A</v>
      </c>
    </row>
    <row r="235" spans="1:15" x14ac:dyDescent="0.25">
      <c r="A235" s="40"/>
      <c r="B235" s="40"/>
      <c r="C235" s="40"/>
      <c r="D235" s="40"/>
      <c r="E235" s="40"/>
      <c r="F235" s="40"/>
      <c r="G235" s="40"/>
      <c r="H235" s="40"/>
      <c r="I235" s="40"/>
      <c r="J235" s="40"/>
      <c r="K235" s="40"/>
      <c r="L235" s="40"/>
      <c r="M235" s="40"/>
      <c r="N235" t="e">
        <f>VLOOKUP(C235,'Member Details (HOF Only)'!$A$2:$U$219,7,FALSE)</f>
        <v>#N/A</v>
      </c>
      <c r="O235" t="e">
        <f>VLOOKUP(H235,'Member Details (HOF Only)'!$A$2:$U$219,7,FALSE)</f>
        <v>#N/A</v>
      </c>
    </row>
    <row r="236" spans="1:15" x14ac:dyDescent="0.25">
      <c r="A236" s="40"/>
      <c r="B236" s="40"/>
      <c r="C236" s="40"/>
      <c r="D236" s="40"/>
      <c r="E236" s="40"/>
      <c r="F236" s="40"/>
      <c r="G236" s="40"/>
      <c r="H236" s="40"/>
      <c r="I236" s="40"/>
      <c r="J236" s="40"/>
      <c r="K236" s="40"/>
      <c r="L236" s="40"/>
      <c r="M236" s="40"/>
      <c r="N236" t="e">
        <f>VLOOKUP(C236,'Member Details (HOF Only)'!$A$2:$U$219,7,FALSE)</f>
        <v>#N/A</v>
      </c>
      <c r="O236" t="e">
        <f>VLOOKUP(H236,'Member Details (HOF Only)'!$A$2:$U$219,7,FALSE)</f>
        <v>#N/A</v>
      </c>
    </row>
    <row r="237" spans="1:15" x14ac:dyDescent="0.25">
      <c r="A237" s="40"/>
      <c r="B237" s="40"/>
      <c r="C237" s="40"/>
      <c r="D237" s="40"/>
      <c r="E237" s="40"/>
      <c r="F237" s="40"/>
      <c r="G237" s="40"/>
      <c r="H237" s="40"/>
      <c r="I237" s="40"/>
      <c r="J237" s="40"/>
      <c r="K237" s="40"/>
      <c r="L237" s="40"/>
      <c r="M237" s="40"/>
      <c r="N237" t="e">
        <f>VLOOKUP(C237,'Member Details (HOF Only)'!$A$2:$U$219,7,FALSE)</f>
        <v>#N/A</v>
      </c>
      <c r="O237" t="e">
        <f>VLOOKUP(H237,'Member Details (HOF Only)'!$A$2:$U$219,7,FALSE)</f>
        <v>#N/A</v>
      </c>
    </row>
    <row r="238" spans="1:15" x14ac:dyDescent="0.25">
      <c r="A238" s="40"/>
      <c r="B238" s="40"/>
      <c r="C238" s="40"/>
      <c r="D238" s="40"/>
      <c r="E238" s="40"/>
      <c r="F238" s="40"/>
      <c r="G238" s="40"/>
      <c r="H238" s="40"/>
      <c r="I238" s="40"/>
      <c r="J238" s="40"/>
      <c r="K238" s="40"/>
      <c r="L238" s="40"/>
      <c r="M238" s="40"/>
      <c r="N238" t="e">
        <f>VLOOKUP(C238,'Member Details (HOF Only)'!$A$2:$U$219,7,FALSE)</f>
        <v>#N/A</v>
      </c>
      <c r="O238" t="e">
        <f>VLOOKUP(H238,'Member Details (HOF Only)'!$A$2:$U$219,7,FALSE)</f>
        <v>#N/A</v>
      </c>
    </row>
    <row r="239" spans="1:15" x14ac:dyDescent="0.25">
      <c r="A239" s="40"/>
      <c r="B239" s="40"/>
      <c r="C239" s="40"/>
      <c r="D239" s="40"/>
      <c r="E239" s="40"/>
      <c r="F239" s="40"/>
      <c r="G239" s="40"/>
      <c r="H239" s="40"/>
      <c r="I239" s="40"/>
      <c r="J239" s="40"/>
      <c r="K239" s="40"/>
      <c r="L239" s="40"/>
      <c r="M239" s="40"/>
      <c r="N239" t="e">
        <f>VLOOKUP(C239,'Member Details (HOF Only)'!$A$2:$U$219,7,FALSE)</f>
        <v>#N/A</v>
      </c>
      <c r="O239" t="e">
        <f>VLOOKUP(H239,'Member Details (HOF Only)'!$A$2:$U$219,7,FALSE)</f>
        <v>#N/A</v>
      </c>
    </row>
    <row r="240" spans="1:15" x14ac:dyDescent="0.25">
      <c r="A240" s="40"/>
      <c r="B240" s="40"/>
      <c r="C240" s="40"/>
      <c r="D240" s="40"/>
      <c r="E240" s="40"/>
      <c r="F240" s="40"/>
      <c r="G240" s="40"/>
      <c r="H240" s="40"/>
      <c r="I240" s="40"/>
      <c r="J240" s="40"/>
      <c r="K240" s="40"/>
      <c r="L240" s="40"/>
      <c r="M240" s="40"/>
      <c r="N240" t="e">
        <f>VLOOKUP(C240,'Member Details (HOF Only)'!$A$2:$U$219,7,FALSE)</f>
        <v>#N/A</v>
      </c>
      <c r="O240" t="e">
        <f>VLOOKUP(H240,'Member Details (HOF Only)'!$A$2:$U$219,7,FALSE)</f>
        <v>#N/A</v>
      </c>
    </row>
    <row r="241" spans="1:15" x14ac:dyDescent="0.25">
      <c r="A241" s="40"/>
      <c r="B241" s="40"/>
      <c r="C241" s="40"/>
      <c r="D241" s="40"/>
      <c r="E241" s="40"/>
      <c r="F241" s="40"/>
      <c r="G241" s="40"/>
      <c r="H241" s="40"/>
      <c r="I241" s="40"/>
      <c r="J241" s="40"/>
      <c r="K241" s="40"/>
      <c r="L241" s="40"/>
      <c r="M241" s="40"/>
      <c r="N241" t="e">
        <f>VLOOKUP(C241,'Member Details (HOF Only)'!$A$2:$U$219,7,FALSE)</f>
        <v>#N/A</v>
      </c>
      <c r="O241" t="e">
        <f>VLOOKUP(H241,'Member Details (HOF Only)'!$A$2:$U$219,7,FALSE)</f>
        <v>#N/A</v>
      </c>
    </row>
    <row r="242" spans="1:15" x14ac:dyDescent="0.25">
      <c r="A242" s="40"/>
      <c r="B242" s="40"/>
      <c r="C242" s="40"/>
      <c r="D242" s="40"/>
      <c r="E242" s="40"/>
      <c r="F242" s="40"/>
      <c r="G242" s="40"/>
      <c r="H242" s="40"/>
      <c r="I242" s="40"/>
      <c r="J242" s="40"/>
      <c r="K242" s="40"/>
      <c r="L242" s="40"/>
      <c r="M242" s="40"/>
      <c r="N242" t="e">
        <f>VLOOKUP(C242,'Member Details (HOF Only)'!$A$2:$U$219,7,FALSE)</f>
        <v>#N/A</v>
      </c>
      <c r="O242" t="e">
        <f>VLOOKUP(H242,'Member Details (HOF Only)'!$A$2:$U$219,7,FALSE)</f>
        <v>#N/A</v>
      </c>
    </row>
    <row r="243" spans="1:15" x14ac:dyDescent="0.25">
      <c r="A243" s="40"/>
      <c r="B243" s="40"/>
      <c r="C243" s="40"/>
      <c r="D243" s="40"/>
      <c r="E243" s="40"/>
      <c r="F243" s="40"/>
      <c r="G243" s="40"/>
      <c r="H243" s="40"/>
      <c r="I243" s="40"/>
      <c r="J243" s="40"/>
      <c r="K243" s="40"/>
      <c r="L243" s="40"/>
      <c r="M243" s="40"/>
      <c r="N243" t="e">
        <f>VLOOKUP(C243,'Member Details (HOF Only)'!$A$2:$U$219,7,FALSE)</f>
        <v>#N/A</v>
      </c>
      <c r="O243" t="e">
        <f>VLOOKUP(H243,'Member Details (HOF Only)'!$A$2:$U$219,7,FALSE)</f>
        <v>#N/A</v>
      </c>
    </row>
    <row r="244" spans="1:15" x14ac:dyDescent="0.25">
      <c r="A244" s="40"/>
      <c r="B244" s="40"/>
      <c r="C244" s="40"/>
      <c r="D244" s="40"/>
      <c r="E244" s="40"/>
      <c r="F244" s="40"/>
      <c r="G244" s="40"/>
      <c r="H244" s="40"/>
      <c r="I244" s="40"/>
      <c r="J244" s="40"/>
      <c r="K244" s="40"/>
      <c r="L244" s="40"/>
      <c r="M244" s="40"/>
      <c r="N244" t="e">
        <f>VLOOKUP(C244,'Member Details (HOF Only)'!$A$2:$U$219,7,FALSE)</f>
        <v>#N/A</v>
      </c>
      <c r="O244" t="e">
        <f>VLOOKUP(H244,'Member Details (HOF Only)'!$A$2:$U$219,7,FALSE)</f>
        <v>#N/A</v>
      </c>
    </row>
    <row r="245" spans="1:15" x14ac:dyDescent="0.25">
      <c r="A245" s="40"/>
      <c r="B245" s="40"/>
      <c r="C245" s="40"/>
      <c r="D245" s="40"/>
      <c r="E245" s="40"/>
      <c r="F245" s="40"/>
      <c r="G245" s="40"/>
      <c r="H245" s="40"/>
      <c r="I245" s="40"/>
      <c r="J245" s="40"/>
      <c r="K245" s="40"/>
      <c r="L245" s="40"/>
      <c r="M245" s="40"/>
      <c r="N245" t="e">
        <f>VLOOKUP(C245,'Member Details (HOF Only)'!$A$2:$U$219,7,FALSE)</f>
        <v>#N/A</v>
      </c>
      <c r="O245" t="e">
        <f>VLOOKUP(H245,'Member Details (HOF Only)'!$A$2:$U$219,7,FALSE)</f>
        <v>#N/A</v>
      </c>
    </row>
    <row r="246" spans="1:15" x14ac:dyDescent="0.25">
      <c r="A246" s="40"/>
      <c r="B246" s="40"/>
      <c r="C246" s="40"/>
      <c r="D246" s="40"/>
      <c r="E246" s="40"/>
      <c r="F246" s="40"/>
      <c r="G246" s="40"/>
      <c r="H246" s="40"/>
      <c r="I246" s="40"/>
      <c r="J246" s="40"/>
      <c r="K246" s="40"/>
      <c r="L246" s="40"/>
      <c r="M246" s="40"/>
      <c r="N246" t="e">
        <f>VLOOKUP(C246,'Member Details (HOF Only)'!$A$2:$U$219,7,FALSE)</f>
        <v>#N/A</v>
      </c>
      <c r="O246" t="e">
        <f>VLOOKUP(H246,'Member Details (HOF Only)'!$A$2:$U$219,7,FALSE)</f>
        <v>#N/A</v>
      </c>
    </row>
    <row r="247" spans="1:15" x14ac:dyDescent="0.25">
      <c r="A247" s="40"/>
      <c r="B247" s="40"/>
      <c r="C247" s="40"/>
      <c r="D247" s="40"/>
      <c r="E247" s="40"/>
      <c r="F247" s="40"/>
      <c r="G247" s="40"/>
      <c r="H247" s="40"/>
      <c r="I247" s="40"/>
      <c r="J247" s="40"/>
      <c r="K247" s="40"/>
      <c r="L247" s="40"/>
      <c r="M247" s="40"/>
      <c r="N247" t="e">
        <f>VLOOKUP(C247,'Member Details (HOF Only)'!$A$2:$U$219,7,FALSE)</f>
        <v>#N/A</v>
      </c>
      <c r="O247" t="e">
        <f>VLOOKUP(H247,'Member Details (HOF Only)'!$A$2:$U$219,7,FALSE)</f>
        <v>#N/A</v>
      </c>
    </row>
    <row r="248" spans="1:15" x14ac:dyDescent="0.25">
      <c r="A248" s="40"/>
      <c r="B248" s="40"/>
      <c r="C248" s="40"/>
      <c r="D248" s="40"/>
      <c r="E248" s="40"/>
      <c r="F248" s="40"/>
      <c r="G248" s="40"/>
      <c r="H248" s="40"/>
      <c r="I248" s="40"/>
      <c r="J248" s="40"/>
      <c r="K248" s="40"/>
      <c r="L248" s="40"/>
      <c r="M248" s="40"/>
      <c r="N248" t="e">
        <f>VLOOKUP(C248,'Member Details (HOF Only)'!$A$2:$U$219,7,FALSE)</f>
        <v>#N/A</v>
      </c>
      <c r="O248" t="e">
        <f>VLOOKUP(H248,'Member Details (HOF Only)'!$A$2:$U$219,7,FALSE)</f>
        <v>#N/A</v>
      </c>
    </row>
    <row r="249" spans="1:15" x14ac:dyDescent="0.25">
      <c r="A249" s="40"/>
      <c r="B249" s="40"/>
      <c r="C249" s="40"/>
      <c r="D249" s="40"/>
      <c r="E249" s="40"/>
      <c r="F249" s="40"/>
      <c r="G249" s="40"/>
      <c r="H249" s="40"/>
      <c r="I249" s="40"/>
      <c r="J249" s="40"/>
      <c r="K249" s="40"/>
      <c r="L249" s="40"/>
      <c r="M249" s="40"/>
      <c r="N249" t="e">
        <f>VLOOKUP(C249,'Member Details (HOF Only)'!$A$2:$U$219,7,FALSE)</f>
        <v>#N/A</v>
      </c>
      <c r="O249" t="e">
        <f>VLOOKUP(H249,'Member Details (HOF Only)'!$A$2:$U$219,7,FALSE)</f>
        <v>#N/A</v>
      </c>
    </row>
    <row r="250" spans="1:15" x14ac:dyDescent="0.25">
      <c r="A250" s="40"/>
      <c r="B250" s="40"/>
      <c r="C250" s="40"/>
      <c r="D250" s="40"/>
      <c r="E250" s="40"/>
      <c r="F250" s="40"/>
      <c r="G250" s="40"/>
      <c r="H250" s="40"/>
      <c r="I250" s="40"/>
      <c r="J250" s="40"/>
      <c r="K250" s="40"/>
      <c r="L250" s="40"/>
      <c r="M250" s="40"/>
      <c r="N250" t="e">
        <f>VLOOKUP(C250,'Member Details (HOF Only)'!$A$2:$U$219,7,FALSE)</f>
        <v>#N/A</v>
      </c>
      <c r="O250" t="e">
        <f>VLOOKUP(H250,'Member Details (HOF Only)'!$A$2:$U$219,7,FALSE)</f>
        <v>#N/A</v>
      </c>
    </row>
    <row r="251" spans="1:15" x14ac:dyDescent="0.25">
      <c r="A251" s="40"/>
      <c r="B251" s="40"/>
      <c r="C251" s="40"/>
      <c r="D251" s="40"/>
      <c r="E251" s="40"/>
      <c r="F251" s="40"/>
      <c r="G251" s="40"/>
      <c r="H251" s="40"/>
      <c r="I251" s="40"/>
      <c r="J251" s="40"/>
      <c r="K251" s="40"/>
      <c r="L251" s="40"/>
      <c r="M251" s="40"/>
      <c r="N251" t="e">
        <f>VLOOKUP(C251,'Member Details (HOF Only)'!$A$2:$U$219,7,FALSE)</f>
        <v>#N/A</v>
      </c>
      <c r="O251" t="e">
        <f>VLOOKUP(H251,'Member Details (HOF Only)'!$A$2:$U$219,7,FALSE)</f>
        <v>#N/A</v>
      </c>
    </row>
    <row r="252" spans="1:15" x14ac:dyDescent="0.25">
      <c r="G252" s="2"/>
    </row>
    <row r="253" spans="1:15" x14ac:dyDescent="0.25">
      <c r="G253" s="2"/>
    </row>
    <row r="254" spans="1:15" x14ac:dyDescent="0.25">
      <c r="G254" s="2"/>
    </row>
    <row r="255" spans="1:15" x14ac:dyDescent="0.25">
      <c r="G255" s="2"/>
    </row>
    <row r="256" spans="1:15" x14ac:dyDescent="0.25">
      <c r="G256" s="2"/>
    </row>
    <row r="257" spans="7:7" x14ac:dyDescent="0.25">
      <c r="G257" s="2"/>
    </row>
    <row r="258" spans="7:7" x14ac:dyDescent="0.25">
      <c r="G258" s="2"/>
    </row>
    <row r="259" spans="7:7" x14ac:dyDescent="0.25">
      <c r="G259" s="2"/>
    </row>
    <row r="260" spans="7:7" x14ac:dyDescent="0.25">
      <c r="G260" s="2"/>
    </row>
    <row r="261" spans="7:7" x14ac:dyDescent="0.25">
      <c r="G261" s="2"/>
    </row>
    <row r="262" spans="7:7" x14ac:dyDescent="0.25">
      <c r="G262" s="2"/>
    </row>
    <row r="263" spans="7:7" x14ac:dyDescent="0.25">
      <c r="G263" s="2"/>
    </row>
    <row r="264" spans="7:7" x14ac:dyDescent="0.25">
      <c r="G264" s="2"/>
    </row>
    <row r="265" spans="7:7" x14ac:dyDescent="0.25">
      <c r="G265" s="2"/>
    </row>
    <row r="266" spans="7:7" x14ac:dyDescent="0.25">
      <c r="G266" s="2"/>
    </row>
    <row r="267" spans="7:7" x14ac:dyDescent="0.25">
      <c r="G267" s="2"/>
    </row>
    <row r="268" spans="7:7" x14ac:dyDescent="0.25">
      <c r="G268" s="2"/>
    </row>
    <row r="269" spans="7:7" x14ac:dyDescent="0.25">
      <c r="G269" s="2"/>
    </row>
    <row r="270" spans="7:7" x14ac:dyDescent="0.25">
      <c r="G270" s="2"/>
    </row>
  </sheetData>
  <autoFilter ref="B1:O25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Summary</vt:lpstr>
      <vt:lpstr>Receipts</vt:lpstr>
      <vt:lpstr>Member Details (HOF Only)</vt:lpstr>
      <vt:lpstr>Configurations</vt:lpstr>
      <vt:lpstr>Auction Summary</vt:lpstr>
      <vt:lpstr>Auction Data</vt:lpstr>
      <vt:lpstr>Receipts!Print_Area</vt:lpstr>
      <vt:lpstr>Receipts!Print_Titles</vt:lpstr>
    </vt:vector>
  </TitlesOfParts>
  <Company>AtoS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Oommen</dc:creator>
  <cp:lastModifiedBy>Jacob Oommen</cp:lastModifiedBy>
  <cp:lastPrinted>2014-04-04T17:12:18Z</cp:lastPrinted>
  <dcterms:created xsi:type="dcterms:W3CDTF">2012-11-10T03:51:22Z</dcterms:created>
  <dcterms:modified xsi:type="dcterms:W3CDTF">2017-03-05T16:05:47Z</dcterms:modified>
</cp:coreProperties>
</file>