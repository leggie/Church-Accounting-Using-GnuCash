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D:\myprograms\VBA\Parish Register\"/>
    </mc:Choice>
  </mc:AlternateContent>
  <xr:revisionPtr revIDLastSave="0" documentId="13_ncr:1_{9C16BE4F-7BE1-4CC9-9807-D60A60C58132}" xr6:coauthVersionLast="46" xr6:coauthVersionMax="46" xr10:uidLastSave="{00000000-0000-0000-0000-000000000000}"/>
  <bookViews>
    <workbookView xWindow="-120" yWindow="-120" windowWidth="29040" windowHeight="15840" xr2:uid="{00000000-000D-0000-FFFF-FFFF00000000}"/>
  </bookViews>
  <sheets>
    <sheet name="ParishMembersRegister" sheetId="16" r:id="rId1"/>
    <sheet name="Configurations" sheetId="15"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5" l="1"/>
  <c r="D4" i="15"/>
  <c r="D5" i="15"/>
  <c r="D6" i="15"/>
  <c r="D7" i="15"/>
  <c r="D8" i="15"/>
  <c r="D9" i="15"/>
  <c r="D10" i="15"/>
  <c r="D11" i="15"/>
  <c r="D12" i="15"/>
  <c r="D13" i="15"/>
  <c r="D2" i="15"/>
  <c r="F14" i="15" l="1"/>
  <c r="F13" i="15" l="1"/>
  <c r="C13" i="15" l="1"/>
  <c r="F12" i="15"/>
  <c r="C12" i="15" l="1"/>
  <c r="F11" i="15"/>
  <c r="C11" i="15" l="1"/>
  <c r="F10" i="15"/>
  <c r="C10" i="15" l="1"/>
  <c r="F9" i="15"/>
  <c r="C9" i="15" l="1"/>
  <c r="F8" i="15"/>
  <c r="C8" i="15" s="1"/>
  <c r="F7" i="15"/>
  <c r="C7" i="15" l="1"/>
  <c r="F6" i="15"/>
  <c r="C6" i="15" l="1"/>
  <c r="F5" i="15"/>
  <c r="C5" i="15" l="1"/>
  <c r="F4" i="15"/>
  <c r="C4" i="15" l="1"/>
  <c r="F3" i="15"/>
  <c r="C3" i="15" l="1"/>
  <c r="F2" i="15"/>
  <c r="C2"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Jacob Oommen</author>
  </authors>
  <commentList>
    <comment ref="B2" authorId="0" shapeId="0" xr:uid="{B54C7A70-6C3B-448D-B680-713C96A8D09B}">
      <text>
        <r>
          <rPr>
            <b/>
            <sz val="9"/>
            <color indexed="81"/>
            <rFont val="Tahoma"/>
            <family val="2"/>
          </rPr>
          <t>Jacob Oommen:</t>
        </r>
        <r>
          <rPr>
            <sz val="9"/>
            <color indexed="81"/>
            <rFont val="Tahoma"/>
            <family val="2"/>
          </rPr>
          <t xml:space="preserve">
If you change any of these headers, please make sure that you change the corresponding row in Column B of the configurations sheet</t>
        </r>
      </text>
    </comment>
    <comment ref="L2" authorId="0" shapeId="0" xr:uid="{00000000-0006-0000-0000-000001000000}">
      <text>
        <r>
          <rPr>
            <b/>
            <sz val="9"/>
            <color indexed="81"/>
            <rFont val="Tahoma"/>
            <family val="2"/>
          </rPr>
          <t>Jacob Oommen:</t>
        </r>
        <r>
          <rPr>
            <sz val="9"/>
            <color indexed="81"/>
            <rFont val="Tahoma"/>
            <family val="2"/>
          </rPr>
          <t xml:space="preserve">
'Head Of Family' Indicator.  Make only one member of a group having the same PRNO the HOF. Accounts will be created only for a rows having the value of this column HOF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Jacob Oommen</author>
  </authors>
  <commentList>
    <comment ref="C2" authorId="0" shapeId="0" xr:uid="{00000000-0006-0000-0100-000001000000}">
      <text>
        <r>
          <rPr>
            <b/>
            <sz val="9"/>
            <color indexed="81"/>
            <rFont val="Tahoma"/>
            <family val="2"/>
          </rPr>
          <t>Jacob Oommen:</t>
        </r>
        <r>
          <rPr>
            <sz val="9"/>
            <color indexed="81"/>
            <rFont val="Tahoma"/>
            <family val="2"/>
          </rPr>
          <t xml:space="preserve">
=MID(F2,2,1)</t>
        </r>
      </text>
    </comment>
    <comment ref="D2" authorId="0" shapeId="0" xr:uid="{00000000-0006-0000-0100-000002000000}">
      <text>
        <r>
          <rPr>
            <b/>
            <sz val="9"/>
            <color indexed="81"/>
            <rFont val="Tahoma"/>
            <family val="2"/>
          </rPr>
          <t>Jacob Oommen:</t>
        </r>
        <r>
          <rPr>
            <sz val="9"/>
            <color indexed="81"/>
            <rFont val="Tahoma"/>
            <family val="2"/>
          </rPr>
          <t xml:space="preserve">
=MATCH(B2,ParishMembersRegister!$2:$2,0)</t>
        </r>
      </text>
    </comment>
    <comment ref="F2" authorId="0" shapeId="0" xr:uid="{00000000-0006-0000-0100-000003000000}">
      <text>
        <r>
          <rPr>
            <b/>
            <sz val="9"/>
            <color indexed="81"/>
            <rFont val="Tahoma"/>
            <family val="2"/>
          </rPr>
          <t>Jacob Oommen:</t>
        </r>
        <r>
          <rPr>
            <sz val="9"/>
            <color indexed="81"/>
            <rFont val="Tahoma"/>
            <family val="2"/>
          </rPr>
          <t xml:space="preserve">
=ADDRESS(1,D2)</t>
        </r>
      </text>
    </comment>
  </commentList>
</comments>
</file>

<file path=xl/sharedStrings.xml><?xml version="1.0" encoding="utf-8"?>
<sst xmlns="http://schemas.openxmlformats.org/spreadsheetml/2006/main" count="277" uniqueCount="177">
  <si>
    <t>Name</t>
  </si>
  <si>
    <t>Group</t>
  </si>
  <si>
    <t>Sarjapur</t>
  </si>
  <si>
    <t>Koramangala</t>
  </si>
  <si>
    <t>Address Line 1</t>
  </si>
  <si>
    <t>Address Line 2</t>
  </si>
  <si>
    <t>Address Line 3</t>
  </si>
  <si>
    <t>Address Line 4</t>
  </si>
  <si>
    <t>Address Line 5</t>
  </si>
  <si>
    <t>Land Line</t>
  </si>
  <si>
    <t>Mobile</t>
  </si>
  <si>
    <t>Salutation</t>
  </si>
  <si>
    <t>SlNo</t>
  </si>
  <si>
    <t>HOF</t>
  </si>
  <si>
    <t>Description</t>
  </si>
  <si>
    <t>Column Name</t>
  </si>
  <si>
    <t>Column Number</t>
  </si>
  <si>
    <t>Searched for Position</t>
  </si>
  <si>
    <t>Edit The values in the cells shaded in blue only as required.</t>
  </si>
  <si>
    <t>This worksheet is locked and only the configuration items that need to be changed are unlocked.   (For the users safety)</t>
  </si>
  <si>
    <t>Password to unlock this worksheet: abc</t>
  </si>
  <si>
    <t>This is created for the use of St Stephens Marthoma Church, Koramangala, Bangalore</t>
  </si>
  <si>
    <t>Position of Salutation</t>
  </si>
  <si>
    <t>Position of Land Line</t>
  </si>
  <si>
    <t>Position of Mobile Number</t>
  </si>
  <si>
    <t>Position of Address Line 1</t>
  </si>
  <si>
    <t>Position of Address Line 2</t>
  </si>
  <si>
    <t>Position of Address Line 3</t>
  </si>
  <si>
    <t>Position of Address Line 4</t>
  </si>
  <si>
    <t>Position of Address Line 5</t>
  </si>
  <si>
    <t>Position of HOF</t>
  </si>
  <si>
    <t>Position Of Group</t>
  </si>
  <si>
    <t>Position Of Name</t>
  </si>
  <si>
    <t>Sheet Name where Members Data is stored</t>
  </si>
  <si>
    <t>XML Starting Piece</t>
  </si>
  <si>
    <t>XML Output File (Gnucash Accounst Hierarchy File Name</t>
  </si>
  <si>
    <t>Other Configurable Items</t>
  </si>
  <si>
    <r>
      <t xml:space="preserve">CONFIGURATION SHEET FOR MACRO EXPORTToXML </t>
    </r>
    <r>
      <rPr>
        <sz val="11"/>
        <color theme="1"/>
        <rFont val="Calibri"/>
        <family val="2"/>
        <scheme val="minor"/>
      </rPr>
      <t>(For Adding Member Names as Accounts in GnuCash)</t>
    </r>
  </si>
  <si>
    <t>For Instructions on how to use for another church, or non profit organization please see the blog: http://financeandaccountingforchurches.blogspot.in/</t>
  </si>
  <si>
    <r>
      <t xml:space="preserve">St. Stephen's Marthoma Church, Kormangala Bangalore
</t>
    </r>
    <r>
      <rPr>
        <b/>
        <sz val="9"/>
        <rFont val="Arial"/>
        <family val="2"/>
      </rPr>
      <t>Parish Members Register</t>
    </r>
  </si>
  <si>
    <t>ParishMembersRegister</t>
  </si>
  <si>
    <t>acctchrt_Church-Members.gnucash-xea</t>
  </si>
  <si>
    <t>Column Name in ParishMembersRegister Worksheet (Row 2)</t>
  </si>
  <si>
    <t>PRNo</t>
  </si>
  <si>
    <t>Position of Parish Registry (PR) Number</t>
  </si>
  <si>
    <t>Password to See vba code:  Password in my blog, http://financeandaccountingforchurches.blogspot.in/</t>
  </si>
  <si>
    <t>Mr</t>
  </si>
  <si>
    <t>Rev</t>
  </si>
  <si>
    <t>Ms</t>
  </si>
  <si>
    <t>Mrs</t>
  </si>
  <si>
    <t>Honorable</t>
  </si>
  <si>
    <t>Dr</t>
  </si>
  <si>
    <t>Alice Bryant</t>
  </si>
  <si>
    <t>Emily Ryan</t>
  </si>
  <si>
    <t>Eric Barnes</t>
  </si>
  <si>
    <t>Kevin Moreno</t>
  </si>
  <si>
    <t>Jeffrey Duncan</t>
  </si>
  <si>
    <t>Alan Kelley</t>
  </si>
  <si>
    <t>Karen Morris</t>
  </si>
  <si>
    <t>Jack Murray</t>
  </si>
  <si>
    <t>Phyllis Bell</t>
  </si>
  <si>
    <t>Jacqueline Gordon</t>
  </si>
  <si>
    <t>Carl Frazier</t>
  </si>
  <si>
    <t>Gerald Russell</t>
  </si>
  <si>
    <t>Benjamin Wells</t>
  </si>
  <si>
    <t>Donna Wheeler</t>
  </si>
  <si>
    <t>Emily Bennett</t>
  </si>
  <si>
    <t>Richard Shaw</t>
  </si>
  <si>
    <t>Pamela Lynch</t>
  </si>
  <si>
    <t>Steve Reyes</t>
  </si>
  <si>
    <t>Rose Lynch</t>
  </si>
  <si>
    <t>Christopher Parker</t>
  </si>
  <si>
    <t>Walter Martinez</t>
  </si>
  <si>
    <t>Dennis Howell</t>
  </si>
  <si>
    <t>Dorothy Edwards</t>
  </si>
  <si>
    <t>Maria Stone</t>
  </si>
  <si>
    <t>52-(506)175-2363</t>
  </si>
  <si>
    <t>62-(773)528-0584</t>
  </si>
  <si>
    <t>56-(110)760-7978</t>
  </si>
  <si>
    <t>380-(714)885-7625</t>
  </si>
  <si>
    <t>1-(625)961-8167</t>
  </si>
  <si>
    <t>57-(473)276-7706</t>
  </si>
  <si>
    <t>60-(652)425-1788</t>
  </si>
  <si>
    <t>86-(236)853-7174</t>
  </si>
  <si>
    <t>386-(285)776-0064</t>
  </si>
  <si>
    <t>20-(575)234-2706</t>
  </si>
  <si>
    <t>55-(289)277-9776</t>
  </si>
  <si>
    <t>374-(359)970-6583</t>
  </si>
  <si>
    <t>230-(510)543-5326</t>
  </si>
  <si>
    <t>81-(351)173-9610</t>
  </si>
  <si>
    <t>62-(425)305-6065</t>
  </si>
  <si>
    <t>33-(777)919-7693</t>
  </si>
  <si>
    <t>385-(678)793-1906</t>
  </si>
  <si>
    <t>886-(512)397-6638</t>
  </si>
  <si>
    <t>389-(542)348-0488</t>
  </si>
  <si>
    <t>62-(664)443-2344</t>
  </si>
  <si>
    <t>54-(568)570-9306</t>
  </si>
  <si>
    <t>86-(586)869-7718</t>
  </si>
  <si>
    <t>7-(420)275-3285</t>
  </si>
  <si>
    <t>55-(844)190-9830</t>
  </si>
  <si>
    <t>374-(497)400-5276</t>
  </si>
  <si>
    <t>57-(984)642-7423</t>
  </si>
  <si>
    <t>62-(931)376-6654</t>
  </si>
  <si>
    <t>48-(968)596-4633</t>
  </si>
  <si>
    <t>86-(615)289-9485</t>
  </si>
  <si>
    <t>7-(201)936-4838</t>
  </si>
  <si>
    <t>380-(144)527-8648</t>
  </si>
  <si>
    <t>66-(353)548-6320</t>
  </si>
  <si>
    <t>7-(164)696-4952</t>
  </si>
  <si>
    <t>86-(633)510-3822</t>
  </si>
  <si>
    <t>374-(905)746-4052</t>
  </si>
  <si>
    <t>63-(402)499-0318</t>
  </si>
  <si>
    <t>232-(374)180-9332</t>
  </si>
  <si>
    <t>591-(260)488-8134</t>
  </si>
  <si>
    <t>62-(607)967-4184</t>
  </si>
  <si>
    <t>48-(997)199-8998</t>
  </si>
  <si>
    <t>62-(935)462-6212</t>
  </si>
  <si>
    <t>54-(160)564-1212</t>
  </si>
  <si>
    <t>51-(229)918-4609</t>
  </si>
  <si>
    <t>504-(490)128-9644</t>
  </si>
  <si>
    <t>62-(595)451-2559</t>
  </si>
  <si>
    <t>60-(529)922-8558</t>
  </si>
  <si>
    <t>62-(188)849-8246</t>
  </si>
  <si>
    <t>57-(581)332-2634</t>
  </si>
  <si>
    <t>3 Kim Street</t>
  </si>
  <si>
    <t>27450 Green Ridge Court</t>
  </si>
  <si>
    <t>7561 Novick Street</t>
  </si>
  <si>
    <t>738 Monument Place</t>
  </si>
  <si>
    <t>38 Gerald Drive</t>
  </si>
  <si>
    <t>60 Maple Wood Lane</t>
  </si>
  <si>
    <t>57 Express Terrace</t>
  </si>
  <si>
    <t>2 Delladonna Road</t>
  </si>
  <si>
    <t>36647 Sullivan Place</t>
  </si>
  <si>
    <t>01 Bellgrove Crossing</t>
  </si>
  <si>
    <t>4 Doe Crossing Place</t>
  </si>
  <si>
    <t>69 Thierer Pass</t>
  </si>
  <si>
    <t>71 South Court</t>
  </si>
  <si>
    <t>7289 Shasta Pass</t>
  </si>
  <si>
    <t>54 Hudson Hill</t>
  </si>
  <si>
    <t>64610 Lawn Junction</t>
  </si>
  <si>
    <t>8 Almo Hill</t>
  </si>
  <si>
    <t>14034 Bobwhite Parkway</t>
  </si>
  <si>
    <t>18 7th Junction</t>
  </si>
  <si>
    <t>599 Elgar Alley</t>
  </si>
  <si>
    <t>64 Ridgeview Street</t>
  </si>
  <si>
    <t>51 Lillian Way</t>
  </si>
  <si>
    <t>539 Dottie Circle</t>
  </si>
  <si>
    <t>66514 Ryan Center</t>
  </si>
  <si>
    <t>Primero de Mayo</t>
  </si>
  <si>
    <t>Sritanjung</t>
  </si>
  <si>
    <t>Cañete</t>
  </si>
  <si>
    <t>Pryazovs’ke</t>
  </si>
  <si>
    <t>Hantsport</t>
  </si>
  <si>
    <t>Melgar</t>
  </si>
  <si>
    <t>Pulau Pinang</t>
  </si>
  <si>
    <t>Bianzhuang</t>
  </si>
  <si>
    <t>Bovec</t>
  </si>
  <si>
    <t>Kawm Umbū</t>
  </si>
  <si>
    <t>Barra de São Francisco</t>
  </si>
  <si>
    <t>Yeghvard</t>
  </si>
  <si>
    <t>Mahébourg</t>
  </si>
  <si>
    <t>Kuroda</t>
  </si>
  <si>
    <t>Pinara</t>
  </si>
  <si>
    <t>Labège</t>
  </si>
  <si>
    <t>Garešnica</t>
  </si>
  <si>
    <t>Zhubei</t>
  </si>
  <si>
    <t>Pršovce</t>
  </si>
  <si>
    <t>Angkahgede</t>
  </si>
  <si>
    <t>Aranguren</t>
  </si>
  <si>
    <t>Shanglian</t>
  </si>
  <si>
    <t>Kazanskoye</t>
  </si>
  <si>
    <t>Gravataí</t>
  </si>
  <si>
    <t>Veracruz Llave</t>
  </si>
  <si>
    <t>Nova Scotia</t>
  </si>
  <si>
    <t>Midi-Pyrénées</t>
  </si>
  <si>
    <t>India</t>
  </si>
  <si>
    <t>&lt;?xml version="1.0" encoding="ISO-8859-1"?&gt;
&lt;!--https://wiki.gnucash.org/wiki/Account_Hierarchy_Template--&gt;
&lt;gnc-account-example
     xmlns:gnc-act="http://www.gnucash.org/XML/gnc-act"
     xmlns:gnc="http://www.gnucash.org/XML/gnc"
     xmlns:act="http://www.gnucash.org/XML/act"
     xmlns:book="http://www.gnucash.org/XML/book"
     xmlns:cd="http://www.gnucash.org/XML/cd"
     xmlns:cmdty="http://www.gnucash.org/XML/cmdty"
     xmlns:price="http://www.gnucash.org/XML/price"
     xmlns:slot="http://www.gnucash.org/XML/slot"
     xmlns:split="http://www.gnucash.org/XML/split"
     xmlns:sx="http://www.gnucash.org/XML/sx"
     xmlns:trn="http://www.gnucash.org/XML/trn"
     xmlns:ts="http://www.gnucash.org/XML/ts"
     xmlns:fs="http://www.gnucash.org/XML/fs"
     xmlns:bgt="http://www.gnucash.org/XML/bgt"
     xmlns:recurrence="http://www.gnucash.org/XML/recurrence"
     xmlns:lot="http://www.gnucash.org/XML/lot"
     xmlns:addr="http://www.gnucash.org/XML/addr"
     xmlns:owner="http://www.gnucash.org/XML/owner"
     xmlns:billterm="http://www.gnucash.org/XML/billterm"
     xmlns:bt-days="http://www.gnucash.org/XML/bt-days"
     xmlns:bt-prox="http://www.gnucash.org/XML/bt-prox"
     xmlns:cust="http://www.gnucash.org/XML/cust"
     xmlns:employee="http://www.gnucash.org/XML/employee"
     xmlns:entry="http://www.gnucash.org/XML/entry"
     xmlns:invoice="http://www.gnucash.org/XML/invoice"
     xmlns:job="http://www.gnucash.org/XML/job"
     xmlns:order="http://www.gnucash.org/XML/order"
     xmlns:taxtable="http://www.gnucash.org/XML/taxtable"
     xmlns:tte="http://www.gnucash.org/XML/tte"
     xmlns:vendor="http://www.gnucash.org/XML/vendor"&gt;
 &lt;gnc-act:title&gt;
  Church Members Accounts
 &lt;/gnc-act:title&gt;
 &lt;gnc-act:short-description&gt;
  Account Hierarchy for Adding church members to the Church Accounts 
 &lt;/gnc-act:short-description&gt;
 &lt;gnc-act:long-description&gt;
  This is a custom account Hierarchy automatically created by a macro, run from an excel sheet with all the church register details.  This can be used with the gnucash new account hierarchy wizard to import the accounts of the church members into the the Assets &gt; Current Accounts &gt; Debtors account hierarchy.  This macro is authored by Jacob Oommen, oncde upon a time Trustee Finance of St. Stephens Marthoma Church, Koramangala, Bangalore.
 &lt;/gnc-act:long-description&gt;
 &lt;gnc-act:exclude-from-select-all&gt;1&lt;/gnc-act:exclude-from-select-all&gt;
&lt;gnc:account version="2.0.0"&gt;
 &lt;act:name&gt;Root Account&lt;/act:name&gt;
 &lt;act:id type="new"&gt;1972cce2e2364f95b2b0bc014502661d&lt;/act:id&gt;
 &lt;act:type&gt;ROOT&lt;/act:type&gt;
   &lt;act:commodity&gt;
    &lt;cmdty:space&gt;ISO4217&lt;/cmdty:space&gt;
    &lt;cmdty:id&gt;USD&lt;/cmdty:id&gt;
  &lt;/act:commodity&gt;
 &lt;act:commodity-scu&gt;100&lt;/act:commodity-scu&gt;
&lt;/gnc:account&gt;
&lt;gnc:account version="2.0.0"&gt;
 &lt;act:name&gt;Assets&lt;/act:name&gt;
 &lt;act:id type="new"&gt;ee8238ee2c2ce590160761df09b99b72&lt;/act:id&gt;
 &lt;act:type&gt;ASSET&lt;/act:type&gt;
 &lt;act:commodity&gt;
  &lt;cmdty:space&gt;ISO4217&lt;/cmdty:space&gt;
  &lt;cmdty:id&gt;USD&lt;/cmdty:id&gt;
 &lt;/act:commodity&gt;
 &lt;act:description&gt;Assets&lt;/act:description&gt;
 &lt;act:parent type="new"&gt;1972cce2e2364f95b2b0bc014502661d&lt;/act:parent&gt;
 &lt;act:slots&gt;
  &lt;slot&gt;
   &lt;slot:key&gt;placeholder&lt;/slot:key&gt;
   &lt;slot:value type="string"&gt;true&lt;/slot:value&gt;
  &lt;/slot&gt;
 &lt;/act:slots&gt;
&lt;/gnc:account&gt;
&lt;gnc:account version="2.0.0"&gt;
 &lt;act:name&gt;Current Assets&lt;/act:name&gt;
 &lt;act:id type="new"&gt;8999739a6bfc46088a3ea5ec45e5f8a4&lt;/act:id&gt;
 &lt;act:type&gt;ASSET&lt;/act:type&gt;
 &lt;act:commodity&gt;
  &lt;cmdty:space&gt;ISO4217&lt;/cmdty:space&gt;
  &lt;cmdty:id&gt;USD&lt;/cmdty:id&gt;
 &lt;/act:commodity&gt;
 &lt;act:description&gt;Current Assets&lt;/act:description&gt;
 &lt;act:parent type="new"&gt;ee8238ee2c2ce590160761df09b99b72&lt;/act:parent&gt;
 &lt;act:slots&gt;
  &lt;slot&gt;
   &lt;slot:key&gt;placeholder&lt;/slot:key&gt;
   &lt;slot:value type="string"&gt;true&lt;/slot:value&gt;
  &lt;/slot&gt;
 &lt;/act:slots&gt;
&lt;/gnc:account&gt;
&lt;gnc:account version="2.0.0"&gt;
 &lt;act:name&gt;Debtors&lt;/act:name&gt;
 &lt;act:id type="new"&gt;8999739a6bfc46088a3ea5ec45e5f8a5&lt;/act:id&gt;
 &lt;act:type&gt;ASSET&lt;/act:type&gt;
 &lt;act:commodity&gt;
  &lt;cmdty:space&gt;ISO4217&lt;/cmdty:space&gt;
  &lt;cmdty:id&gt;USD&lt;/cmdty:id&gt;
 &lt;/act:commodity&gt;
 &lt;act:description&gt;Create all church members account under this account&lt;/act:description&gt;
 &lt;act:parent type="new"&gt;8999739a6bfc46088a3ea5ec45e5f8a4&lt;/act:parent&gt;
 &lt;act:slots&gt;
  &lt;slot&gt;
   &lt;slot:key&gt;placeholder&lt;/slot:key&gt;
   &lt;slot:value type="string"&gt;true&lt;/slot:value&gt;
  &lt;/slot&gt;
 &lt;/act:slots&gt;
&lt;/gnc:account&gt;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</si>
</sst>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4"/>
      <name val="Arial"/>
      <family val="2"/>
    </font>
    <font>
      <b/>
      <sz val="9"/>
      <name val="Arial"/>
      <family val="2"/>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2"/>
      <color rgb="FF000000"/>
      <name val="Arial"/>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7" fillId="0" borderId="0"/>
    <xf numFmtId="0" fontId="11" fillId="0" borderId="0"/>
  </cellStyleXfs>
  <cellXfs count="37">
    <xf numFmtId="0" fontId="0" fillId="0" borderId="0" xfId="0"/>
    <xf numFmtId="1" fontId="8" fillId="0" borderId="4" xfId="1" applyNumberFormat="1" applyFont="1" applyBorder="1" applyAlignment="1">
      <alignment horizontal="left"/>
    </xf>
    <xf numFmtId="1" fontId="7" fillId="0" borderId="0" xfId="1" applyNumberFormat="1" applyAlignment="1">
      <alignment horizontal="left"/>
    </xf>
    <xf numFmtId="0" fontId="7" fillId="0" borderId="0" xfId="1" applyAlignment="1"/>
    <xf numFmtId="0" fontId="8" fillId="0" borderId="3" xfId="1" applyFont="1" applyBorder="1" applyAlignment="1"/>
    <xf numFmtId="49" fontId="8" fillId="0" borderId="4" xfId="1" applyNumberFormat="1" applyFont="1" applyBorder="1" applyAlignment="1"/>
    <xf numFmtId="0" fontId="8" fillId="0" borderId="4" xfId="1" applyFont="1" applyBorder="1" applyAlignment="1"/>
    <xf numFmtId="49" fontId="8" fillId="0" borderId="4" xfId="1" applyNumberFormat="1" applyFont="1" applyFill="1" applyBorder="1" applyAlignment="1"/>
    <xf numFmtId="0" fontId="7" fillId="2" borderId="1" xfId="1" applyFill="1" applyBorder="1" applyAlignment="1"/>
    <xf numFmtId="49" fontId="7" fillId="2" borderId="1" xfId="1" applyNumberFormat="1" applyFill="1" applyBorder="1" applyAlignment="1"/>
    <xf numFmtId="49" fontId="7" fillId="0" borderId="0" xfId="1" applyNumberFormat="1" applyAlignment="1"/>
    <xf numFmtId="0" fontId="11" fillId="0" borderId="0" xfId="2" applyProtection="1"/>
    <xf numFmtId="0" fontId="11" fillId="0" borderId="1" xfId="2" applyBorder="1" applyProtection="1"/>
    <xf numFmtId="0" fontId="12" fillId="0" borderId="0" xfId="2" applyFont="1" applyProtection="1"/>
    <xf numFmtId="0" fontId="6" fillId="0" borderId="1" xfId="2" applyFont="1" applyBorder="1" applyProtection="1"/>
    <xf numFmtId="0" fontId="5" fillId="0" borderId="1" xfId="2" applyFont="1" applyBorder="1" applyProtection="1"/>
    <xf numFmtId="0" fontId="0" fillId="3" borderId="1" xfId="0" applyFill="1" applyBorder="1" applyProtection="1"/>
    <xf numFmtId="0" fontId="11" fillId="3" borderId="1" xfId="2" applyFill="1" applyBorder="1" applyProtection="1"/>
    <xf numFmtId="0" fontId="7" fillId="3" borderId="1" xfId="0" applyFont="1" applyFill="1" applyBorder="1" applyProtection="1"/>
    <xf numFmtId="0" fontId="4" fillId="0" borderId="0" xfId="2" applyFont="1" applyProtection="1"/>
    <xf numFmtId="0" fontId="3" fillId="3" borderId="1" xfId="2" applyFont="1" applyFill="1" applyBorder="1" applyProtection="1"/>
    <xf numFmtId="0" fontId="12" fillId="2" borderId="1" xfId="2" applyFont="1" applyFill="1" applyBorder="1" applyAlignment="1" applyProtection="1">
      <alignment vertical="top" wrapText="1"/>
    </xf>
    <xf numFmtId="0" fontId="12" fillId="0" borderId="1" xfId="2" applyFont="1" applyFill="1" applyBorder="1" applyAlignment="1" applyProtection="1">
      <alignment vertical="top" wrapText="1"/>
    </xf>
    <xf numFmtId="0" fontId="12" fillId="0" borderId="1" xfId="2" applyFont="1" applyBorder="1" applyAlignment="1" applyProtection="1">
      <alignment vertical="top" wrapText="1"/>
    </xf>
    <xf numFmtId="0" fontId="11" fillId="0" borderId="0" xfId="2" applyAlignment="1" applyProtection="1">
      <alignment vertical="top" wrapText="1"/>
    </xf>
    <xf numFmtId="0" fontId="7" fillId="2" borderId="2" xfId="1" applyFill="1" applyBorder="1" applyAlignment="1"/>
    <xf numFmtId="0" fontId="2" fillId="0" borderId="1" xfId="2" applyFont="1" applyBorder="1" applyProtection="1"/>
    <xf numFmtId="0" fontId="0" fillId="0" borderId="0" xfId="0" applyProtection="1"/>
    <xf numFmtId="0" fontId="0" fillId="2" borderId="0" xfId="0" applyFill="1"/>
    <xf numFmtId="0" fontId="7" fillId="2" borderId="0" xfId="0" applyFont="1" applyFill="1"/>
    <xf numFmtId="49" fontId="7" fillId="2" borderId="5" xfId="1" applyNumberFormat="1" applyFill="1" applyBorder="1" applyAlignment="1"/>
    <xf numFmtId="49" fontId="9" fillId="0" borderId="0" xfId="1" applyNumberFormat="1" applyFont="1" applyAlignment="1">
      <alignment horizontal="center" wrapText="1"/>
    </xf>
    <xf numFmtId="0" fontId="12" fillId="0" borderId="6" xfId="2" applyFont="1" applyBorder="1" applyAlignment="1" applyProtection="1">
      <alignment horizontal="center"/>
    </xf>
    <xf numFmtId="0" fontId="12" fillId="0" borderId="7" xfId="2" applyFont="1" applyBorder="1" applyAlignment="1" applyProtection="1">
      <alignment horizontal="center"/>
    </xf>
    <xf numFmtId="0" fontId="12" fillId="0" borderId="8" xfId="2" applyFont="1" applyBorder="1" applyAlignment="1" applyProtection="1">
      <alignment horizontal="center"/>
    </xf>
    <xf numFmtId="0" fontId="1" fillId="3" borderId="1" xfId="2" applyFont="1" applyFill="1" applyBorder="1" applyAlignment="1" applyProtection="1">
      <alignment wrapText="1"/>
    </xf>
    <xf numFmtId="0" fontId="1" fillId="0" borderId="1" xfId="2" applyFont="1" applyBorder="1" applyProtection="1"/>
  </cellXfs>
  <cellStyles count="3">
    <cellStyle name="Normal" xfId="0" builtinId="0"/>
    <cellStyle name="Normal 2" xfId="1" xr:uid="{00000000-0005-0000-0000-000001000000}"/>
    <cellStyle name="Normal 3" xfId="2" xr:uid="{00000000-0005-0000-0000-000002000000}"/>
  </cellStyles>
  <dxfs count="18">
    <dxf>
      <numFmt numFmtId="30" formatCode="@"/>
      <fill>
        <patternFill>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rgb="FFFFFF0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alignment vertical="bottom" textRotation="0" wrapText="0" indent="0" justifyLastLine="0" shrinkToFit="0" readingOrder="0"/>
    </dxf>
    <dxf>
      <border>
        <bottom style="thin">
          <color indexed="64"/>
        </bottom>
      </border>
    </dxf>
    <dxf>
      <font>
        <b/>
        <i val="0"/>
        <strike val="0"/>
        <condense val="0"/>
        <extend val="0"/>
        <outline val="0"/>
        <shadow val="0"/>
        <u val="none"/>
        <vertAlign val="baseline"/>
        <sz val="10"/>
        <color auto="1"/>
        <name val="Arial"/>
        <scheme val="none"/>
      </font>
      <numFmt numFmtId="30" formatCode="@"/>
      <alignmen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9525</xdr:colOff>
          <xdr:row>4</xdr:row>
          <xdr:rowOff>142875</xdr:rowOff>
        </xdr:from>
        <xdr:to>
          <xdr:col>19</xdr:col>
          <xdr:colOff>447675</xdr:colOff>
          <xdr:row>7</xdr:row>
          <xdr:rowOff>123825</xdr:rowOff>
        </xdr:to>
        <xdr:sp macro="" textlink="">
          <xdr:nvSpPr>
            <xdr:cNvPr id="2051" name="Button 3" descr="Export to Gnucash Account Hierarchy"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Export to Gnucash Hierarchy File</a:t>
              </a:r>
            </a:p>
            <a:p>
              <a:pPr algn="ctr" rtl="0">
                <a:defRPr sz="1000"/>
              </a:pPr>
              <a:endParaRPr lang="en-US" sz="1200" b="0" i="0" u="none" strike="noStrike" baseline="0">
                <a:solidFill>
                  <a:srgbClr val="000000"/>
                </a:solidFill>
                <a:latin typeface="Arial"/>
                <a:cs typeface="Arial"/>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25" displayName="Table25" ref="A2:M26" totalsRowShown="0" headerRowDxfId="17" dataDxfId="15" headerRowBorderDxfId="16" tableBorderDxfId="14" totalsRowBorderDxfId="13" headerRowCellStyle="Normal 2" dataCellStyle="Normal 2">
  <autoFilter ref="A2:M26" xr:uid="{00000000-0009-0000-0100-000004000000}"/>
  <sortState xmlns:xlrd2="http://schemas.microsoft.com/office/spreadsheetml/2017/richdata2" ref="A3:M559">
    <sortCondition ref="D2:D559"/>
  </sortState>
  <tableColumns count="13">
    <tableColumn id="1" xr3:uid="{00000000-0010-0000-0000-000001000000}" name="SlNo" dataDxfId="12" dataCellStyle="Normal 2"/>
    <tableColumn id="2" xr3:uid="{00000000-0010-0000-0000-000002000000}" name="PRNo" dataDxfId="11" dataCellStyle="Normal 2"/>
    <tableColumn id="3" xr3:uid="{00000000-0010-0000-0000-000003000000}" name="Salutation" dataDxfId="10" dataCellStyle="Normal 2"/>
    <tableColumn id="4" xr3:uid="{00000000-0010-0000-0000-000004000000}" name="Name" dataDxfId="9" dataCellStyle="Normal 2"/>
    <tableColumn id="5" xr3:uid="{00000000-0010-0000-0000-000005000000}" name="Land Line" dataDxfId="8" dataCellStyle="Normal 2"/>
    <tableColumn id="6" xr3:uid="{00000000-0010-0000-0000-000006000000}" name="Mobile" dataDxfId="7" dataCellStyle="Normal 2"/>
    <tableColumn id="7" xr3:uid="{00000000-0010-0000-0000-000007000000}" name="Address Line 1" dataDxfId="6" dataCellStyle="Normal 2"/>
    <tableColumn id="8" xr3:uid="{00000000-0010-0000-0000-000008000000}" name="Address Line 2" dataDxfId="5" dataCellStyle="Normal 2"/>
    <tableColumn id="9" xr3:uid="{00000000-0010-0000-0000-000009000000}" name="Address Line 3" dataDxfId="4" dataCellStyle="Normal 2"/>
    <tableColumn id="10" xr3:uid="{00000000-0010-0000-0000-00000A000000}" name="Address Line 4" dataDxfId="3" dataCellStyle="Normal 2"/>
    <tableColumn id="11" xr3:uid="{00000000-0010-0000-0000-00000B000000}" name="Address Line 5" dataDxfId="2" dataCellStyle="Normal 2"/>
    <tableColumn id="12" xr3:uid="{00000000-0010-0000-0000-00000C000000}" name="HOF" dataDxfId="1" dataCellStyle="Normal 2"/>
    <tableColumn id="13" xr3:uid="{00000000-0010-0000-0000-00000D000000}" name="Group" dataDxfId="0" dataCellStyle="Normal 2"/>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M26"/>
  <sheetViews>
    <sheetView tabSelected="1" zoomScaleNormal="100" workbookViewId="0">
      <pane ySplit="2" topLeftCell="A3" activePane="bottomLeft" state="frozen"/>
      <selection activeCell="F284" sqref="F284"/>
      <selection pane="bottomLeft" activeCell="B32" sqref="B32"/>
    </sheetView>
  </sheetViews>
  <sheetFormatPr defaultColWidth="6.85546875" defaultRowHeight="12.75" x14ac:dyDescent="0.2"/>
  <cols>
    <col min="1" max="1" width="6.85546875" style="3"/>
    <col min="2" max="2" width="6.85546875" style="2"/>
    <col min="3" max="3" width="9.140625" style="10" customWidth="1"/>
    <col min="4" max="4" width="33.85546875" style="3" bestFit="1" customWidth="1"/>
    <col min="5" max="5" width="18.42578125" style="10" bestFit="1" customWidth="1"/>
    <col min="6" max="6" width="12.42578125" style="10" customWidth="1"/>
    <col min="7" max="7" width="8.28515625" style="10" customWidth="1"/>
    <col min="8" max="11" width="6.85546875" style="10"/>
    <col min="12" max="12" width="6.85546875" style="3"/>
    <col min="13" max="13" width="12.5703125" style="3" bestFit="1" customWidth="1"/>
    <col min="14" max="16384" width="6.85546875" style="3"/>
  </cols>
  <sheetData>
    <row r="1" spans="1:13" ht="33" customHeight="1" x14ac:dyDescent="0.25">
      <c r="A1" s="31" t="s">
        <v>39</v>
      </c>
      <c r="B1" s="31"/>
      <c r="C1" s="31"/>
      <c r="D1" s="31"/>
      <c r="E1" s="31"/>
      <c r="F1" s="31"/>
      <c r="G1" s="31"/>
      <c r="H1" s="31"/>
      <c r="I1" s="31"/>
      <c r="J1" s="31"/>
      <c r="K1" s="31"/>
      <c r="L1" s="31"/>
      <c r="M1" s="31"/>
    </row>
    <row r="2" spans="1:13" x14ac:dyDescent="0.2">
      <c r="A2" s="4" t="s">
        <v>12</v>
      </c>
      <c r="B2" s="1" t="s">
        <v>43</v>
      </c>
      <c r="C2" s="5" t="s">
        <v>11</v>
      </c>
      <c r="D2" s="6" t="s">
        <v>0</v>
      </c>
      <c r="E2" s="5" t="s">
        <v>9</v>
      </c>
      <c r="F2" s="7" t="s">
        <v>10</v>
      </c>
      <c r="G2" s="5" t="s">
        <v>4</v>
      </c>
      <c r="H2" s="5" t="s">
        <v>5</v>
      </c>
      <c r="I2" s="5" t="s">
        <v>6</v>
      </c>
      <c r="J2" s="5" t="s">
        <v>7</v>
      </c>
      <c r="K2" s="5" t="s">
        <v>8</v>
      </c>
      <c r="L2" s="6" t="s">
        <v>13</v>
      </c>
      <c r="M2" s="6" t="s">
        <v>1</v>
      </c>
    </row>
    <row r="3" spans="1:13" x14ac:dyDescent="0.2">
      <c r="A3" s="25">
        <v>1</v>
      </c>
      <c r="B3" s="28">
        <v>1</v>
      </c>
      <c r="C3" s="28" t="s">
        <v>46</v>
      </c>
      <c r="D3" s="28" t="s">
        <v>52</v>
      </c>
      <c r="E3" s="28" t="s">
        <v>76</v>
      </c>
      <c r="F3" s="28" t="s">
        <v>100</v>
      </c>
      <c r="G3" s="28" t="s">
        <v>124</v>
      </c>
      <c r="H3" s="28" t="s">
        <v>148</v>
      </c>
      <c r="I3" s="28" t="s">
        <v>172</v>
      </c>
      <c r="J3" s="29" t="s">
        <v>175</v>
      </c>
      <c r="K3" s="9"/>
      <c r="L3" s="8" t="s">
        <v>13</v>
      </c>
      <c r="M3" s="8" t="s">
        <v>2</v>
      </c>
    </row>
    <row r="4" spans="1:13" x14ac:dyDescent="0.2">
      <c r="A4" s="25">
        <v>2</v>
      </c>
      <c r="B4" s="28">
        <v>2</v>
      </c>
      <c r="C4" s="28" t="s">
        <v>46</v>
      </c>
      <c r="D4" s="28" t="s">
        <v>53</v>
      </c>
      <c r="E4" s="28" t="s">
        <v>77</v>
      </c>
      <c r="F4" s="28" t="s">
        <v>101</v>
      </c>
      <c r="G4" s="28" t="s">
        <v>125</v>
      </c>
      <c r="H4" s="28" t="s">
        <v>149</v>
      </c>
      <c r="I4" s="28"/>
      <c r="J4" s="29" t="s">
        <v>175</v>
      </c>
      <c r="K4" s="9"/>
      <c r="L4" s="8" t="s">
        <v>13</v>
      </c>
      <c r="M4" s="8" t="s">
        <v>3</v>
      </c>
    </row>
    <row r="5" spans="1:13" x14ac:dyDescent="0.2">
      <c r="A5" s="25">
        <v>3</v>
      </c>
      <c r="B5" s="28">
        <v>3</v>
      </c>
      <c r="C5" s="28" t="s">
        <v>47</v>
      </c>
      <c r="D5" s="28" t="s">
        <v>54</v>
      </c>
      <c r="E5" s="28" t="s">
        <v>78</v>
      </c>
      <c r="F5" s="28" t="s">
        <v>102</v>
      </c>
      <c r="G5" s="28" t="s">
        <v>126</v>
      </c>
      <c r="H5" s="28" t="s">
        <v>150</v>
      </c>
      <c r="I5" s="28"/>
      <c r="J5" s="29" t="s">
        <v>175</v>
      </c>
      <c r="K5" s="9"/>
      <c r="L5" s="8" t="s">
        <v>13</v>
      </c>
      <c r="M5" s="9" t="s">
        <v>2</v>
      </c>
    </row>
    <row r="6" spans="1:13" x14ac:dyDescent="0.2">
      <c r="A6" s="25">
        <v>3</v>
      </c>
      <c r="B6" s="28">
        <v>4</v>
      </c>
      <c r="C6" s="28" t="s">
        <v>46</v>
      </c>
      <c r="D6" s="28" t="s">
        <v>55</v>
      </c>
      <c r="E6" s="28" t="s">
        <v>79</v>
      </c>
      <c r="F6" s="28" t="s">
        <v>103</v>
      </c>
      <c r="G6" s="28" t="s">
        <v>127</v>
      </c>
      <c r="H6" s="28" t="s">
        <v>151</v>
      </c>
      <c r="I6" s="28"/>
      <c r="J6" s="29" t="s">
        <v>175</v>
      </c>
      <c r="K6" s="9"/>
      <c r="L6" s="8" t="s">
        <v>13</v>
      </c>
      <c r="M6" s="8" t="s">
        <v>2</v>
      </c>
    </row>
    <row r="7" spans="1:13" x14ac:dyDescent="0.2">
      <c r="A7" s="25">
        <v>3</v>
      </c>
      <c r="B7" s="28">
        <v>5</v>
      </c>
      <c r="C7" s="28" t="s">
        <v>48</v>
      </c>
      <c r="D7" s="28" t="s">
        <v>56</v>
      </c>
      <c r="E7" s="28" t="s">
        <v>80</v>
      </c>
      <c r="F7" s="28" t="s">
        <v>104</v>
      </c>
      <c r="G7" s="28" t="s">
        <v>128</v>
      </c>
      <c r="H7" s="28" t="s">
        <v>152</v>
      </c>
      <c r="I7" s="28" t="s">
        <v>173</v>
      </c>
      <c r="J7" s="29" t="s">
        <v>175</v>
      </c>
      <c r="K7" s="9"/>
      <c r="L7" s="8" t="s">
        <v>13</v>
      </c>
      <c r="M7" s="8" t="s">
        <v>3</v>
      </c>
    </row>
    <row r="8" spans="1:13" x14ac:dyDescent="0.2">
      <c r="A8" s="25">
        <v>3</v>
      </c>
      <c r="B8" s="28">
        <v>6</v>
      </c>
      <c r="C8" s="28" t="s">
        <v>49</v>
      </c>
      <c r="D8" s="28" t="s">
        <v>57</v>
      </c>
      <c r="E8" s="28" t="s">
        <v>81</v>
      </c>
      <c r="F8" s="28" t="s">
        <v>105</v>
      </c>
      <c r="G8" s="28" t="s">
        <v>129</v>
      </c>
      <c r="H8" s="28" t="s">
        <v>153</v>
      </c>
      <c r="I8" s="28"/>
      <c r="J8" s="29" t="s">
        <v>175</v>
      </c>
      <c r="K8" s="30"/>
      <c r="L8" s="8" t="s">
        <v>13</v>
      </c>
      <c r="M8" s="9" t="s">
        <v>2</v>
      </c>
    </row>
    <row r="9" spans="1:13" x14ac:dyDescent="0.2">
      <c r="A9" s="25">
        <v>3</v>
      </c>
      <c r="B9" s="28">
        <v>7</v>
      </c>
      <c r="C9" s="28" t="s">
        <v>50</v>
      </c>
      <c r="D9" s="28" t="s">
        <v>58</v>
      </c>
      <c r="E9" s="28" t="s">
        <v>82</v>
      </c>
      <c r="F9" s="28" t="s">
        <v>106</v>
      </c>
      <c r="G9" s="28" t="s">
        <v>130</v>
      </c>
      <c r="H9" s="28" t="s">
        <v>154</v>
      </c>
      <c r="I9" s="28" t="s">
        <v>154</v>
      </c>
      <c r="J9" s="29" t="s">
        <v>175</v>
      </c>
      <c r="K9" s="30"/>
      <c r="L9" s="8" t="s">
        <v>13</v>
      </c>
      <c r="M9" s="8" t="s">
        <v>2</v>
      </c>
    </row>
    <row r="10" spans="1:13" x14ac:dyDescent="0.2">
      <c r="A10" s="25">
        <v>3</v>
      </c>
      <c r="B10" s="28">
        <v>8</v>
      </c>
      <c r="C10" s="28" t="s">
        <v>46</v>
      </c>
      <c r="D10" s="28" t="s">
        <v>59</v>
      </c>
      <c r="E10" s="28" t="s">
        <v>83</v>
      </c>
      <c r="F10" s="28" t="s">
        <v>107</v>
      </c>
      <c r="G10" s="28" t="s">
        <v>131</v>
      </c>
      <c r="H10" s="28" t="s">
        <v>155</v>
      </c>
      <c r="I10" s="28"/>
      <c r="J10" s="29" t="s">
        <v>175</v>
      </c>
      <c r="K10" s="30"/>
      <c r="L10" s="8" t="s">
        <v>13</v>
      </c>
      <c r="M10" s="8" t="s">
        <v>3</v>
      </c>
    </row>
    <row r="11" spans="1:13" x14ac:dyDescent="0.2">
      <c r="A11" s="25">
        <v>3</v>
      </c>
      <c r="B11" s="28">
        <v>9</v>
      </c>
      <c r="C11" s="28" t="s">
        <v>50</v>
      </c>
      <c r="D11" s="28" t="s">
        <v>60</v>
      </c>
      <c r="E11" s="28" t="s">
        <v>84</v>
      </c>
      <c r="F11" s="28" t="s">
        <v>108</v>
      </c>
      <c r="G11" s="28" t="s">
        <v>132</v>
      </c>
      <c r="H11" s="28" t="s">
        <v>156</v>
      </c>
      <c r="I11" s="28"/>
      <c r="J11" s="29" t="s">
        <v>175</v>
      </c>
      <c r="K11" s="9"/>
      <c r="L11" s="8" t="s">
        <v>13</v>
      </c>
      <c r="M11" s="9" t="s">
        <v>2</v>
      </c>
    </row>
    <row r="12" spans="1:13" x14ac:dyDescent="0.2">
      <c r="A12" s="25">
        <v>3</v>
      </c>
      <c r="B12" s="28">
        <v>10</v>
      </c>
      <c r="C12" s="28" t="s">
        <v>47</v>
      </c>
      <c r="D12" s="28" t="s">
        <v>61</v>
      </c>
      <c r="E12" s="28" t="s">
        <v>85</v>
      </c>
      <c r="F12" s="28" t="s">
        <v>109</v>
      </c>
      <c r="G12" s="28" t="s">
        <v>133</v>
      </c>
      <c r="H12" s="28" t="s">
        <v>157</v>
      </c>
      <c r="I12" s="28"/>
      <c r="J12" s="29" t="s">
        <v>175</v>
      </c>
      <c r="K12" s="9"/>
      <c r="L12" s="8" t="s">
        <v>13</v>
      </c>
      <c r="M12" s="8" t="s">
        <v>2</v>
      </c>
    </row>
    <row r="13" spans="1:13" x14ac:dyDescent="0.2">
      <c r="A13" s="25">
        <v>3</v>
      </c>
      <c r="B13" s="28">
        <v>11</v>
      </c>
      <c r="C13" s="28" t="s">
        <v>50</v>
      </c>
      <c r="D13" s="28" t="s">
        <v>62</v>
      </c>
      <c r="E13" s="28" t="s">
        <v>86</v>
      </c>
      <c r="F13" s="28" t="s">
        <v>110</v>
      </c>
      <c r="G13" s="28" t="s">
        <v>134</v>
      </c>
      <c r="H13" s="28" t="s">
        <v>158</v>
      </c>
      <c r="I13" s="28"/>
      <c r="J13" s="29" t="s">
        <v>175</v>
      </c>
      <c r="K13" s="9"/>
      <c r="L13" s="8" t="s">
        <v>13</v>
      </c>
      <c r="M13" s="8" t="s">
        <v>3</v>
      </c>
    </row>
    <row r="14" spans="1:13" x14ac:dyDescent="0.2">
      <c r="A14" s="25">
        <v>3</v>
      </c>
      <c r="B14" s="28">
        <v>12</v>
      </c>
      <c r="C14" s="28" t="s">
        <v>47</v>
      </c>
      <c r="D14" s="28" t="s">
        <v>63</v>
      </c>
      <c r="E14" s="28" t="s">
        <v>87</v>
      </c>
      <c r="F14" s="28" t="s">
        <v>111</v>
      </c>
      <c r="G14" s="28" t="s">
        <v>135</v>
      </c>
      <c r="H14" s="28" t="s">
        <v>159</v>
      </c>
      <c r="I14" s="28"/>
      <c r="J14" s="29" t="s">
        <v>175</v>
      </c>
      <c r="K14" s="9"/>
      <c r="L14" s="8" t="s">
        <v>13</v>
      </c>
      <c r="M14" s="9" t="s">
        <v>2</v>
      </c>
    </row>
    <row r="15" spans="1:13" x14ac:dyDescent="0.2">
      <c r="A15" s="25">
        <v>3</v>
      </c>
      <c r="B15" s="28">
        <v>13</v>
      </c>
      <c r="C15" s="28" t="s">
        <v>49</v>
      </c>
      <c r="D15" s="28" t="s">
        <v>64</v>
      </c>
      <c r="E15" s="28" t="s">
        <v>88</v>
      </c>
      <c r="F15" s="28" t="s">
        <v>112</v>
      </c>
      <c r="G15" s="28" t="s">
        <v>136</v>
      </c>
      <c r="H15" s="28" t="s">
        <v>160</v>
      </c>
      <c r="I15" s="28"/>
      <c r="J15" s="29" t="s">
        <v>175</v>
      </c>
      <c r="K15" s="9"/>
      <c r="L15" s="8" t="s">
        <v>13</v>
      </c>
      <c r="M15" s="8" t="s">
        <v>2</v>
      </c>
    </row>
    <row r="16" spans="1:13" x14ac:dyDescent="0.2">
      <c r="A16" s="25">
        <v>3</v>
      </c>
      <c r="B16" s="28">
        <v>14</v>
      </c>
      <c r="C16" s="28" t="s">
        <v>48</v>
      </c>
      <c r="D16" s="28" t="s">
        <v>65</v>
      </c>
      <c r="E16" s="28" t="s">
        <v>89</v>
      </c>
      <c r="F16" s="28" t="s">
        <v>113</v>
      </c>
      <c r="G16" s="28" t="s">
        <v>137</v>
      </c>
      <c r="H16" s="28" t="s">
        <v>161</v>
      </c>
      <c r="I16" s="28"/>
      <c r="J16" s="29" t="s">
        <v>175</v>
      </c>
      <c r="K16" s="9"/>
      <c r="L16" s="8" t="s">
        <v>13</v>
      </c>
      <c r="M16" s="8" t="s">
        <v>3</v>
      </c>
    </row>
    <row r="17" spans="1:13" x14ac:dyDescent="0.2">
      <c r="A17" s="25">
        <v>3</v>
      </c>
      <c r="B17" s="28">
        <v>15</v>
      </c>
      <c r="C17" s="28" t="s">
        <v>50</v>
      </c>
      <c r="D17" s="28" t="s">
        <v>66</v>
      </c>
      <c r="E17" s="28" t="s">
        <v>90</v>
      </c>
      <c r="F17" s="28" t="s">
        <v>114</v>
      </c>
      <c r="G17" s="28" t="s">
        <v>138</v>
      </c>
      <c r="H17" s="28" t="s">
        <v>162</v>
      </c>
      <c r="I17" s="28"/>
      <c r="J17" s="29" t="s">
        <v>175</v>
      </c>
      <c r="K17" s="9"/>
      <c r="L17" s="8" t="s">
        <v>13</v>
      </c>
      <c r="M17" s="9" t="s">
        <v>2</v>
      </c>
    </row>
    <row r="18" spans="1:13" x14ac:dyDescent="0.2">
      <c r="A18" s="25">
        <v>3</v>
      </c>
      <c r="B18" s="28">
        <v>16</v>
      </c>
      <c r="C18" s="28" t="s">
        <v>50</v>
      </c>
      <c r="D18" s="28" t="s">
        <v>67</v>
      </c>
      <c r="E18" s="28" t="s">
        <v>91</v>
      </c>
      <c r="F18" s="28" t="s">
        <v>115</v>
      </c>
      <c r="G18" s="28" t="s">
        <v>139</v>
      </c>
      <c r="H18" s="28" t="s">
        <v>163</v>
      </c>
      <c r="I18" s="28" t="s">
        <v>174</v>
      </c>
      <c r="J18" s="29" t="s">
        <v>175</v>
      </c>
      <c r="K18" s="9"/>
      <c r="L18" s="8" t="s">
        <v>13</v>
      </c>
      <c r="M18" s="8" t="s">
        <v>2</v>
      </c>
    </row>
    <row r="19" spans="1:13" x14ac:dyDescent="0.2">
      <c r="A19" s="25">
        <v>3</v>
      </c>
      <c r="B19" s="28">
        <v>17</v>
      </c>
      <c r="C19" s="28" t="s">
        <v>49</v>
      </c>
      <c r="D19" s="28" t="s">
        <v>68</v>
      </c>
      <c r="E19" s="28" t="s">
        <v>92</v>
      </c>
      <c r="F19" s="28" t="s">
        <v>116</v>
      </c>
      <c r="G19" s="28" t="s">
        <v>140</v>
      </c>
      <c r="H19" s="28" t="s">
        <v>164</v>
      </c>
      <c r="I19" s="28"/>
      <c r="J19" s="29" t="s">
        <v>175</v>
      </c>
      <c r="K19" s="9"/>
      <c r="L19" s="8" t="s">
        <v>13</v>
      </c>
      <c r="M19" s="8" t="s">
        <v>3</v>
      </c>
    </row>
    <row r="20" spans="1:13" x14ac:dyDescent="0.2">
      <c r="A20" s="25">
        <v>3</v>
      </c>
      <c r="B20" s="28">
        <v>18</v>
      </c>
      <c r="C20" s="28" t="s">
        <v>49</v>
      </c>
      <c r="D20" s="28" t="s">
        <v>69</v>
      </c>
      <c r="E20" s="28" t="s">
        <v>93</v>
      </c>
      <c r="F20" s="28" t="s">
        <v>117</v>
      </c>
      <c r="G20" s="28" t="s">
        <v>141</v>
      </c>
      <c r="H20" s="28" t="s">
        <v>165</v>
      </c>
      <c r="I20" s="28"/>
      <c r="J20" s="29" t="s">
        <v>175</v>
      </c>
      <c r="K20" s="9"/>
      <c r="L20" s="8" t="s">
        <v>13</v>
      </c>
      <c r="M20" s="9" t="s">
        <v>2</v>
      </c>
    </row>
    <row r="21" spans="1:13" x14ac:dyDescent="0.2">
      <c r="A21" s="25">
        <v>3</v>
      </c>
      <c r="B21" s="28">
        <v>19</v>
      </c>
      <c r="C21" s="28" t="s">
        <v>46</v>
      </c>
      <c r="D21" s="28" t="s">
        <v>70</v>
      </c>
      <c r="E21" s="28" t="s">
        <v>94</v>
      </c>
      <c r="F21" s="28" t="s">
        <v>118</v>
      </c>
      <c r="G21" s="28" t="s">
        <v>142</v>
      </c>
      <c r="H21" s="28" t="s">
        <v>166</v>
      </c>
      <c r="I21" s="28"/>
      <c r="J21" s="29" t="s">
        <v>175</v>
      </c>
      <c r="K21" s="9"/>
      <c r="L21" s="8" t="s">
        <v>13</v>
      </c>
      <c r="M21" s="8" t="s">
        <v>2</v>
      </c>
    </row>
    <row r="22" spans="1:13" x14ac:dyDescent="0.2">
      <c r="A22" s="25">
        <v>3</v>
      </c>
      <c r="B22" s="28">
        <v>20</v>
      </c>
      <c r="C22" s="28" t="s">
        <v>51</v>
      </c>
      <c r="D22" s="28" t="s">
        <v>71</v>
      </c>
      <c r="E22" s="28" t="s">
        <v>95</v>
      </c>
      <c r="F22" s="28" t="s">
        <v>119</v>
      </c>
      <c r="G22" s="28" t="s">
        <v>143</v>
      </c>
      <c r="H22" s="28" t="s">
        <v>167</v>
      </c>
      <c r="I22" s="28"/>
      <c r="J22" s="29" t="s">
        <v>175</v>
      </c>
      <c r="K22" s="9"/>
      <c r="L22" s="8" t="s">
        <v>13</v>
      </c>
      <c r="M22" s="8" t="s">
        <v>3</v>
      </c>
    </row>
    <row r="23" spans="1:13" x14ac:dyDescent="0.2">
      <c r="A23" s="25">
        <v>3</v>
      </c>
      <c r="B23" s="28">
        <v>21</v>
      </c>
      <c r="C23" s="28" t="s">
        <v>51</v>
      </c>
      <c r="D23" s="28" t="s">
        <v>72</v>
      </c>
      <c r="E23" s="28" t="s">
        <v>96</v>
      </c>
      <c r="F23" s="28" t="s">
        <v>120</v>
      </c>
      <c r="G23" s="28" t="s">
        <v>144</v>
      </c>
      <c r="H23" s="28" t="s">
        <v>168</v>
      </c>
      <c r="I23" s="28"/>
      <c r="J23" s="29" t="s">
        <v>175</v>
      </c>
      <c r="K23" s="9"/>
      <c r="L23" s="8" t="s">
        <v>13</v>
      </c>
      <c r="M23" s="9" t="s">
        <v>2</v>
      </c>
    </row>
    <row r="24" spans="1:13" x14ac:dyDescent="0.2">
      <c r="A24" s="25">
        <v>3</v>
      </c>
      <c r="B24" s="28">
        <v>22</v>
      </c>
      <c r="C24" s="28" t="s">
        <v>48</v>
      </c>
      <c r="D24" s="28" t="s">
        <v>73</v>
      </c>
      <c r="E24" s="28" t="s">
        <v>97</v>
      </c>
      <c r="F24" s="28" t="s">
        <v>121</v>
      </c>
      <c r="G24" s="28" t="s">
        <v>145</v>
      </c>
      <c r="H24" s="28" t="s">
        <v>169</v>
      </c>
      <c r="I24" s="28"/>
      <c r="J24" s="29" t="s">
        <v>175</v>
      </c>
      <c r="K24" s="9"/>
      <c r="L24" s="8" t="s">
        <v>13</v>
      </c>
      <c r="M24" s="8" t="s">
        <v>2</v>
      </c>
    </row>
    <row r="25" spans="1:13" x14ac:dyDescent="0.2">
      <c r="A25" s="25">
        <v>3</v>
      </c>
      <c r="B25" s="28">
        <v>23</v>
      </c>
      <c r="C25" s="28" t="s">
        <v>46</v>
      </c>
      <c r="D25" s="28" t="s">
        <v>74</v>
      </c>
      <c r="E25" s="28" t="s">
        <v>98</v>
      </c>
      <c r="F25" s="28" t="s">
        <v>122</v>
      </c>
      <c r="G25" s="28" t="s">
        <v>146</v>
      </c>
      <c r="H25" s="28" t="s">
        <v>170</v>
      </c>
      <c r="I25" s="28"/>
      <c r="J25" s="29" t="s">
        <v>175</v>
      </c>
      <c r="K25" s="9"/>
      <c r="L25" s="8" t="s">
        <v>13</v>
      </c>
      <c r="M25" s="8" t="s">
        <v>3</v>
      </c>
    </row>
    <row r="26" spans="1:13" x14ac:dyDescent="0.2">
      <c r="A26" s="25">
        <v>3</v>
      </c>
      <c r="B26" s="28">
        <v>24</v>
      </c>
      <c r="C26" s="28" t="s">
        <v>47</v>
      </c>
      <c r="D26" s="28" t="s">
        <v>75</v>
      </c>
      <c r="E26" s="28" t="s">
        <v>99</v>
      </c>
      <c r="F26" s="28" t="s">
        <v>123</v>
      </c>
      <c r="G26" s="28" t="s">
        <v>147</v>
      </c>
      <c r="H26" s="28" t="s">
        <v>171</v>
      </c>
      <c r="I26" s="28"/>
      <c r="J26" s="29" t="s">
        <v>175</v>
      </c>
      <c r="K26" s="9"/>
      <c r="L26" s="8" t="s">
        <v>13</v>
      </c>
      <c r="M26" s="9" t="s">
        <v>2</v>
      </c>
    </row>
  </sheetData>
  <mergeCells count="1">
    <mergeCell ref="A1:M1"/>
  </mergeCells>
  <pageMargins left="0.75" right="0.75" top="1" bottom="1" header="0.5" footer="0.5"/>
  <pageSetup paperSize="9" scale="19" fitToHeight="3" orientation="portrait" horizontalDpi="4294967293" verticalDpi="300" r:id="rId1"/>
  <headerFooter alignWithMargins="0">
    <oddFooter xml:space="preserve">&amp;CPage &amp;P of &amp;N&amp;RYours in Christ Rev K M Johnson (Vicar)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ExportToXml" altText="Export to Gnucash Account Hierarchy">
                <anchor moveWithCells="1">
                  <from>
                    <xdr:col>16</xdr:col>
                    <xdr:colOff>9525</xdr:colOff>
                    <xdr:row>4</xdr:row>
                    <xdr:rowOff>142875</xdr:rowOff>
                  </from>
                  <to>
                    <xdr:col>19</xdr:col>
                    <xdr:colOff>447675</xdr:colOff>
                    <xdr:row>7</xdr:row>
                    <xdr:rowOff>123825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F25"/>
  <sheetViews>
    <sheetView topLeftCell="A5" workbookViewId="0">
      <selection activeCell="A33" sqref="A33"/>
    </sheetView>
  </sheetViews>
  <sheetFormatPr defaultRowHeight="15" x14ac:dyDescent="0.25"/>
  <cols>
    <col min="1" max="1" width="51.140625" style="11" bestFit="1" customWidth="1"/>
    <col min="2" max="2" width="35.7109375" style="11" customWidth="1"/>
    <col min="3" max="3" width="2.5703125" style="11" hidden="1" customWidth="1"/>
    <col min="4" max="4" width="1.7109375" style="11" hidden="1" customWidth="1"/>
    <col min="5" max="5" width="35.7109375" style="11" customWidth="1"/>
    <col min="6" max="6" width="2.5703125" style="11" hidden="1" customWidth="1"/>
    <col min="7" max="16384" width="9.140625" style="11"/>
  </cols>
  <sheetData>
    <row r="1" spans="1:6" s="24" customFormat="1" ht="240" x14ac:dyDescent="0.2">
      <c r="A1" s="21" t="s">
        <v>14</v>
      </c>
      <c r="B1" s="21" t="s">
        <v>42</v>
      </c>
      <c r="C1" s="22" t="s">
        <v>15</v>
      </c>
      <c r="D1" s="22" t="s">
        <v>16</v>
      </c>
      <c r="E1" s="21" t="s">
        <v>36</v>
      </c>
      <c r="F1" s="23" t="s">
        <v>17</v>
      </c>
    </row>
    <row r="2" spans="1:6" x14ac:dyDescent="0.25">
      <c r="A2" s="26" t="s">
        <v>44</v>
      </c>
      <c r="B2" s="18" t="s">
        <v>43</v>
      </c>
      <c r="C2" s="12" t="str">
        <f t="shared" ref="C2:C13" si="0">MID(F2,2,1)</f>
        <v>B</v>
      </c>
      <c r="D2" s="12">
        <f>MATCH(B2,ParishMembersRegister!$2:$2,0)</f>
        <v>2</v>
      </c>
      <c r="E2" s="12"/>
      <c r="F2" s="12" t="str">
        <f t="shared" ref="F2:F14" si="1">ADDRESS(1,D2)</f>
        <v>$B$1</v>
      </c>
    </row>
    <row r="3" spans="1:6" x14ac:dyDescent="0.25">
      <c r="A3" s="12" t="s">
        <v>22</v>
      </c>
      <c r="B3" s="16" t="s">
        <v>11</v>
      </c>
      <c r="C3" s="12" t="str">
        <f t="shared" si="0"/>
        <v>C</v>
      </c>
      <c r="D3" s="12">
        <f>MATCH(B3,ParishMembersRegister!$2:$2,0)</f>
        <v>3</v>
      </c>
      <c r="E3" s="12"/>
      <c r="F3" s="12" t="str">
        <f t="shared" si="1"/>
        <v>$C$1</v>
      </c>
    </row>
    <row r="4" spans="1:6" x14ac:dyDescent="0.25">
      <c r="A4" s="12" t="s">
        <v>23</v>
      </c>
      <c r="B4" s="16" t="s">
        <v>9</v>
      </c>
      <c r="C4" s="12" t="str">
        <f t="shared" si="0"/>
        <v>E</v>
      </c>
      <c r="D4" s="12">
        <f>MATCH(B4,ParishMembersRegister!$2:$2,0)</f>
        <v>5</v>
      </c>
      <c r="E4" s="12"/>
      <c r="F4" s="12" t="str">
        <f t="shared" si="1"/>
        <v>$E$1</v>
      </c>
    </row>
    <row r="5" spans="1:6" x14ac:dyDescent="0.25">
      <c r="A5" s="12" t="s">
        <v>24</v>
      </c>
      <c r="B5" s="16" t="s">
        <v>10</v>
      </c>
      <c r="C5" s="12" t="str">
        <f t="shared" si="0"/>
        <v>F</v>
      </c>
      <c r="D5" s="12">
        <f>MATCH(B5,ParishMembersRegister!$2:$2,0)</f>
        <v>6</v>
      </c>
      <c r="E5" s="12"/>
      <c r="F5" s="12" t="str">
        <f t="shared" si="1"/>
        <v>$F$1</v>
      </c>
    </row>
    <row r="6" spans="1:6" x14ac:dyDescent="0.25">
      <c r="A6" s="12" t="s">
        <v>25</v>
      </c>
      <c r="B6" s="16" t="s">
        <v>4</v>
      </c>
      <c r="C6" s="12" t="str">
        <f t="shared" si="0"/>
        <v>G</v>
      </c>
      <c r="D6" s="12">
        <f>MATCH(B6,ParishMembersRegister!$2:$2,0)</f>
        <v>7</v>
      </c>
      <c r="E6" s="12"/>
      <c r="F6" s="12" t="str">
        <f t="shared" si="1"/>
        <v>$G$1</v>
      </c>
    </row>
    <row r="7" spans="1:6" x14ac:dyDescent="0.25">
      <c r="A7" s="12" t="s">
        <v>26</v>
      </c>
      <c r="B7" s="16" t="s">
        <v>5</v>
      </c>
      <c r="C7" s="12" t="str">
        <f t="shared" si="0"/>
        <v>H</v>
      </c>
      <c r="D7" s="12">
        <f>MATCH(B7,ParishMembersRegister!$2:$2,0)</f>
        <v>8</v>
      </c>
      <c r="E7" s="12"/>
      <c r="F7" s="12" t="str">
        <f t="shared" si="1"/>
        <v>$H$1</v>
      </c>
    </row>
    <row r="8" spans="1:6" x14ac:dyDescent="0.25">
      <c r="A8" s="12" t="s">
        <v>27</v>
      </c>
      <c r="B8" s="16" t="s">
        <v>6</v>
      </c>
      <c r="C8" s="12" t="str">
        <f t="shared" si="0"/>
        <v>I</v>
      </c>
      <c r="D8" s="12">
        <f>MATCH(B8,ParishMembersRegister!$2:$2,0)</f>
        <v>9</v>
      </c>
      <c r="E8" s="12"/>
      <c r="F8" s="12" t="str">
        <f t="shared" si="1"/>
        <v>$I$1</v>
      </c>
    </row>
    <row r="9" spans="1:6" x14ac:dyDescent="0.25">
      <c r="A9" s="12" t="s">
        <v>28</v>
      </c>
      <c r="B9" s="16" t="s">
        <v>7</v>
      </c>
      <c r="C9" s="12" t="str">
        <f t="shared" si="0"/>
        <v>J</v>
      </c>
      <c r="D9" s="12">
        <f>MATCH(B9,ParishMembersRegister!$2:$2,0)</f>
        <v>10</v>
      </c>
      <c r="E9" s="12"/>
      <c r="F9" s="12" t="str">
        <f t="shared" si="1"/>
        <v>$J$1</v>
      </c>
    </row>
    <row r="10" spans="1:6" x14ac:dyDescent="0.25">
      <c r="A10" s="12" t="s">
        <v>29</v>
      </c>
      <c r="B10" s="16" t="s">
        <v>8</v>
      </c>
      <c r="C10" s="12" t="str">
        <f t="shared" si="0"/>
        <v>K</v>
      </c>
      <c r="D10" s="12">
        <f>MATCH(B10,ParishMembersRegister!$2:$2,0)</f>
        <v>11</v>
      </c>
      <c r="E10" s="12"/>
      <c r="F10" s="12" t="str">
        <f t="shared" si="1"/>
        <v>$K$1</v>
      </c>
    </row>
    <row r="11" spans="1:6" x14ac:dyDescent="0.25">
      <c r="A11" s="12" t="s">
        <v>30</v>
      </c>
      <c r="B11" s="16" t="s">
        <v>13</v>
      </c>
      <c r="C11" s="12" t="str">
        <f t="shared" si="0"/>
        <v>L</v>
      </c>
      <c r="D11" s="12">
        <f>MATCH(B11,ParishMembersRegister!$2:$2,0)</f>
        <v>12</v>
      </c>
      <c r="E11" s="12"/>
      <c r="F11" s="12" t="str">
        <f t="shared" si="1"/>
        <v>$L$1</v>
      </c>
    </row>
    <row r="12" spans="1:6" x14ac:dyDescent="0.25">
      <c r="A12" s="12" t="s">
        <v>31</v>
      </c>
      <c r="B12" s="16" t="s">
        <v>1</v>
      </c>
      <c r="C12" s="12" t="str">
        <f t="shared" si="0"/>
        <v>M</v>
      </c>
      <c r="D12" s="12">
        <f>MATCH(B12,ParishMembersRegister!$2:$2,0)</f>
        <v>13</v>
      </c>
      <c r="E12" s="12"/>
      <c r="F12" s="12" t="str">
        <f t="shared" si="1"/>
        <v>$M$1</v>
      </c>
    </row>
    <row r="13" spans="1:6" x14ac:dyDescent="0.25">
      <c r="A13" s="12" t="s">
        <v>32</v>
      </c>
      <c r="B13" s="17" t="s">
        <v>0</v>
      </c>
      <c r="C13" s="12" t="str">
        <f t="shared" si="0"/>
        <v>D</v>
      </c>
      <c r="D13" s="12">
        <f>MATCH(B13,ParishMembersRegister!$2:$2,0)</f>
        <v>4</v>
      </c>
      <c r="E13" s="12"/>
      <c r="F13" s="12" t="str">
        <f t="shared" si="1"/>
        <v>$D$1</v>
      </c>
    </row>
    <row r="14" spans="1:6" x14ac:dyDescent="0.25">
      <c r="A14" s="15" t="s">
        <v>35</v>
      </c>
      <c r="B14" s="12"/>
      <c r="C14" s="12"/>
      <c r="D14" s="12"/>
      <c r="E14" s="20" t="s">
        <v>41</v>
      </c>
      <c r="F14" s="12" t="e">
        <f t="shared" si="1"/>
        <v>#VALUE!</v>
      </c>
    </row>
    <row r="15" spans="1:6" x14ac:dyDescent="0.25">
      <c r="A15" s="14" t="s">
        <v>33</v>
      </c>
      <c r="B15" s="12"/>
      <c r="C15" s="12"/>
      <c r="D15" s="12"/>
      <c r="E15" s="20" t="s">
        <v>40</v>
      </c>
    </row>
    <row r="16" spans="1:6" ht="21.75" customHeight="1" x14ac:dyDescent="0.25">
      <c r="A16" s="36" t="s">
        <v>34</v>
      </c>
      <c r="B16" s="12"/>
      <c r="C16" s="12"/>
      <c r="D16" s="12"/>
      <c r="E16" s="35" t="s">
        <v>176</v>
      </c>
    </row>
    <row r="17" spans="1:5" ht="15.75" thickBot="1" x14ac:dyDescent="0.3"/>
    <row r="18" spans="1:5" ht="15.75" thickBot="1" x14ac:dyDescent="0.3">
      <c r="A18" s="32" t="s">
        <v>37</v>
      </c>
      <c r="B18" s="33"/>
      <c r="C18" s="33"/>
      <c r="D18" s="33"/>
      <c r="E18" s="34"/>
    </row>
    <row r="20" spans="1:5" x14ac:dyDescent="0.25">
      <c r="A20" s="11" t="s">
        <v>18</v>
      </c>
    </row>
    <row r="21" spans="1:5" x14ac:dyDescent="0.25">
      <c r="A21" s="11" t="s">
        <v>19</v>
      </c>
    </row>
    <row r="22" spans="1:5" x14ac:dyDescent="0.25">
      <c r="A22" s="11" t="s">
        <v>20</v>
      </c>
    </row>
    <row r="23" spans="1:5" x14ac:dyDescent="0.25">
      <c r="A23" s="27" t="s">
        <v>45</v>
      </c>
    </row>
    <row r="24" spans="1:5" x14ac:dyDescent="0.25">
      <c r="A24" s="19" t="s">
        <v>38</v>
      </c>
    </row>
    <row r="25" spans="1:5" x14ac:dyDescent="0.25">
      <c r="A25" s="13" t="s">
        <v>21</v>
      </c>
    </row>
  </sheetData>
  <mergeCells count="1">
    <mergeCell ref="A18:E18"/>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ParishMembersRegister</vt:lpstr>
      <vt:lpstr>Configurations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Jacob Oommen</cp:lastModifiedBy>
  <cp:lastPrinted>2013-01-26T18:16:36Z</cp:lastPrinted>
  <dcterms:created xsi:type="dcterms:W3CDTF">8202-01-20T02:11:33Z</dcterms:created>
  <dcterms:modified xsi:type="dcterms:W3CDTF">2021-01-27T18:34:45Z</dcterms:modified>
</cp:coreProperties>
</file>